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nijat\AppData\Local\Temp\claude\C--Users-nijat-Downloads-Weiterbildung-2026-day-month-year-plan-2026\9ebe9fa4-9da1-4fef-a85e-243288e4a1bd\scratchpad\"/>
    </mc:Choice>
  </mc:AlternateContent>
  <xr:revisionPtr revIDLastSave="0" documentId="13_ncr:1_{9370002A-BBE9-4FED-8524-D6BC826DF6F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Daily Tracker" sheetId="1" r:id="rId1"/>
    <sheet name="Weekly Summary" sheetId="2" r:id="rId2"/>
    <sheet name="Monthly Summary" sheetId="3" r:id="rId3"/>
    <sheet name="Dashboard" sheetId="4" r:id="rId4"/>
    <sheet name="Lists" sheetId="5" r:id="rId5"/>
    <sheet name="Settings" sheetId="6" r:id="rId6"/>
  </sheets>
  <definedNames>
    <definedName name="ContributionList">Lists!$B$9:$H$9</definedName>
    <definedName name="EnergyList">Lists!$B$5:$G$5</definedName>
    <definedName name="ModuleList">Lists!$B$7:$H$7</definedName>
    <definedName name="YesNoMark">Lists!$B$1:$C$1</definedName>
    <definedName name="YesNoText">Lists!$B$3:$C$3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1" i="4" l="1"/>
  <c r="D10" i="4"/>
  <c r="D9" i="4"/>
  <c r="D8" i="4"/>
  <c r="D7" i="4"/>
  <c r="D6" i="4"/>
  <c r="Z188" i="1"/>
  <c r="AE188" i="1" s="1"/>
  <c r="Z187" i="1"/>
  <c r="AJ187" i="1" s="1"/>
  <c r="Z186" i="1"/>
  <c r="AC186" i="1" s="1"/>
  <c r="Z185" i="1"/>
  <c r="Z184" i="1"/>
  <c r="AM184" i="1" s="1"/>
  <c r="Z183" i="1"/>
  <c r="Z182" i="1"/>
  <c r="AL182" i="1" s="1"/>
  <c r="Z181" i="1"/>
  <c r="AM181" i="1" s="1"/>
  <c r="Z180" i="1"/>
  <c r="AL180" i="1" s="1"/>
  <c r="Z179" i="1"/>
  <c r="Z178" i="1"/>
  <c r="AM178" i="1" s="1"/>
  <c r="Z177" i="1"/>
  <c r="AC177" i="1" s="1"/>
  <c r="Z176" i="1"/>
  <c r="AC176" i="1" s="1"/>
  <c r="AM175" i="1"/>
  <c r="AL175" i="1"/>
  <c r="AJ175" i="1"/>
  <c r="Z175" i="1"/>
  <c r="AA175" i="1" s="1"/>
  <c r="Z174" i="1"/>
  <c r="Z173" i="1"/>
  <c r="AE173" i="1" s="1"/>
  <c r="Z172" i="1"/>
  <c r="AE172" i="1" s="1"/>
  <c r="AF172" i="1" s="1"/>
  <c r="Z171" i="1"/>
  <c r="Z170" i="1"/>
  <c r="AJ170" i="1" s="1"/>
  <c r="Z169" i="1"/>
  <c r="AA169" i="1" s="1"/>
  <c r="AB169" i="1" s="1"/>
  <c r="Z168" i="1"/>
  <c r="AJ167" i="1"/>
  <c r="Z167" i="1"/>
  <c r="AA167" i="1" s="1"/>
  <c r="AD167" i="1" s="1"/>
  <c r="Z166" i="1"/>
  <c r="AA166" i="1" s="1"/>
  <c r="Z165" i="1"/>
  <c r="AC165" i="1" s="1"/>
  <c r="Z164" i="1"/>
  <c r="Z163" i="1"/>
  <c r="AA163" i="1" s="1"/>
  <c r="Z162" i="1"/>
  <c r="AE162" i="1" s="1"/>
  <c r="AG162" i="1" s="1"/>
  <c r="AH162" i="1" s="1"/>
  <c r="Z161" i="1"/>
  <c r="Z160" i="1"/>
  <c r="AM160" i="1" s="1"/>
  <c r="Z159" i="1"/>
  <c r="AL159" i="1" s="1"/>
  <c r="Z158" i="1"/>
  <c r="AA158" i="1" s="1"/>
  <c r="AD158" i="1" s="1"/>
  <c r="Z157" i="1"/>
  <c r="AL157" i="1" s="1"/>
  <c r="Z156" i="1"/>
  <c r="AA156" i="1" s="1"/>
  <c r="Z155" i="1"/>
  <c r="Z154" i="1"/>
  <c r="Z153" i="1"/>
  <c r="AA153" i="1" s="1"/>
  <c r="Z152" i="1"/>
  <c r="AC152" i="1" s="1"/>
  <c r="Z151" i="1"/>
  <c r="AE151" i="1" s="1"/>
  <c r="AF151" i="1" s="1"/>
  <c r="Z150" i="1"/>
  <c r="AC150" i="1" s="1"/>
  <c r="Z149" i="1"/>
  <c r="AA149" i="1" s="1"/>
  <c r="AA148" i="1"/>
  <c r="Z148" i="1"/>
  <c r="Z147" i="1"/>
  <c r="AL147" i="1" s="1"/>
  <c r="Z146" i="1"/>
  <c r="Z145" i="1"/>
  <c r="Z144" i="1"/>
  <c r="AE144" i="1" s="1"/>
  <c r="Z143" i="1"/>
  <c r="AA143" i="1" s="1"/>
  <c r="Z142" i="1"/>
  <c r="AM142" i="1" s="1"/>
  <c r="Z141" i="1"/>
  <c r="Z140" i="1"/>
  <c r="AC140" i="1" s="1"/>
  <c r="Z139" i="1"/>
  <c r="AL139" i="1" s="1"/>
  <c r="Z138" i="1"/>
  <c r="AM138" i="1" s="1"/>
  <c r="Z137" i="1"/>
  <c r="Z136" i="1"/>
  <c r="Z135" i="1"/>
  <c r="AJ135" i="1" s="1"/>
  <c r="Z134" i="1"/>
  <c r="Z133" i="1"/>
  <c r="AE133" i="1" s="1"/>
  <c r="Z132" i="1"/>
  <c r="AE132" i="1" s="1"/>
  <c r="AM131" i="1"/>
  <c r="Z131" i="1"/>
  <c r="AC131" i="1" s="1"/>
  <c r="Z130" i="1"/>
  <c r="AJ130" i="1" s="1"/>
  <c r="Z129" i="1"/>
  <c r="AC129" i="1" s="1"/>
  <c r="Z128" i="1"/>
  <c r="AA128" i="1" s="1"/>
  <c r="AB128" i="1" s="1"/>
  <c r="Z127" i="1"/>
  <c r="AM127" i="1" s="1"/>
  <c r="Z126" i="1"/>
  <c r="AI126" i="1" s="1"/>
  <c r="Z125" i="1"/>
  <c r="AM125" i="1" s="1"/>
  <c r="Z124" i="1"/>
  <c r="AA124" i="1" s="1"/>
  <c r="Z123" i="1"/>
  <c r="AM123" i="1" s="1"/>
  <c r="Z122" i="1"/>
  <c r="Z121" i="1"/>
  <c r="AM121" i="1" s="1"/>
  <c r="Z120" i="1"/>
  <c r="AE120" i="1" s="1"/>
  <c r="Z119" i="1"/>
  <c r="AM119" i="1" s="1"/>
  <c r="Z118" i="1"/>
  <c r="AA118" i="1" s="1"/>
  <c r="Z117" i="1"/>
  <c r="AM117" i="1" s="1"/>
  <c r="Z116" i="1"/>
  <c r="AE116" i="1" s="1"/>
  <c r="AG116" i="1" s="1"/>
  <c r="AH116" i="1" s="1"/>
  <c r="Z115" i="1"/>
  <c r="AM115" i="1" s="1"/>
  <c r="Z114" i="1"/>
  <c r="Z113" i="1"/>
  <c r="AC113" i="1" s="1"/>
  <c r="AC112" i="1"/>
  <c r="Z112" i="1"/>
  <c r="AA112" i="1" s="1"/>
  <c r="AD112" i="1" s="1"/>
  <c r="Z111" i="1"/>
  <c r="Z110" i="1"/>
  <c r="AA110" i="1" s="1"/>
  <c r="AD110" i="1" s="1"/>
  <c r="Z109" i="1"/>
  <c r="Z108" i="1"/>
  <c r="Z107" i="1"/>
  <c r="AM107" i="1" s="1"/>
  <c r="Z106" i="1"/>
  <c r="Z105" i="1"/>
  <c r="Z104" i="1"/>
  <c r="AE104" i="1" s="1"/>
  <c r="Z103" i="1"/>
  <c r="AA103" i="1" s="1"/>
  <c r="Z102" i="1"/>
  <c r="AM102" i="1" s="1"/>
  <c r="Z101" i="1"/>
  <c r="AI101" i="1" s="1"/>
  <c r="Z100" i="1"/>
  <c r="AA100" i="1" s="1"/>
  <c r="Z99" i="1"/>
  <c r="AA99" i="1" s="1"/>
  <c r="AD99" i="1" s="1"/>
  <c r="Z98" i="1"/>
  <c r="AI98" i="1" s="1"/>
  <c r="Z97" i="1"/>
  <c r="Z96" i="1"/>
  <c r="AA96" i="1" s="1"/>
  <c r="Z95" i="1"/>
  <c r="AE95" i="1" s="1"/>
  <c r="Z94" i="1"/>
  <c r="AI94" i="1" s="1"/>
  <c r="Z93" i="1"/>
  <c r="AL93" i="1" s="1"/>
  <c r="Z92" i="1"/>
  <c r="AE92" i="1" s="1"/>
  <c r="AG92" i="1" s="1"/>
  <c r="AH92" i="1" s="1"/>
  <c r="Z91" i="1"/>
  <c r="AM91" i="1" s="1"/>
  <c r="Z90" i="1"/>
  <c r="AJ90" i="1" s="1"/>
  <c r="Z89" i="1"/>
  <c r="Z88" i="1"/>
  <c r="AL88" i="1" s="1"/>
  <c r="Z87" i="1"/>
  <c r="AC87" i="1" s="1"/>
  <c r="Z86" i="1"/>
  <c r="AA86" i="1" s="1"/>
  <c r="Z85" i="1"/>
  <c r="AA85" i="1" s="1"/>
  <c r="AB85" i="1" s="1"/>
  <c r="Z84" i="1"/>
  <c r="AA84" i="1" s="1"/>
  <c r="AL83" i="1"/>
  <c r="AJ83" i="1"/>
  <c r="AI83" i="1"/>
  <c r="AE83" i="1"/>
  <c r="AF83" i="1" s="1"/>
  <c r="Z83" i="1"/>
  <c r="AM83" i="1" s="1"/>
  <c r="Z82" i="1"/>
  <c r="AL82" i="1" s="1"/>
  <c r="Z81" i="1"/>
  <c r="AI81" i="1" s="1"/>
  <c r="Z80" i="1"/>
  <c r="AC80" i="1" s="1"/>
  <c r="Z79" i="1"/>
  <c r="Z78" i="1"/>
  <c r="AL78" i="1" s="1"/>
  <c r="Z77" i="1"/>
  <c r="Z76" i="1"/>
  <c r="AA76" i="1" s="1"/>
  <c r="Z75" i="1"/>
  <c r="AA75" i="1" s="1"/>
  <c r="AB75" i="1" s="1"/>
  <c r="Z74" i="1"/>
  <c r="AM73" i="1"/>
  <c r="AJ73" i="1"/>
  <c r="AI73" i="1"/>
  <c r="Z73" i="1"/>
  <c r="AL73" i="1" s="1"/>
  <c r="Z72" i="1"/>
  <c r="Z71" i="1"/>
  <c r="AI71" i="1" s="1"/>
  <c r="AM70" i="1"/>
  <c r="AL70" i="1"/>
  <c r="AJ70" i="1"/>
  <c r="AI70" i="1"/>
  <c r="Z70" i="1"/>
  <c r="AA70" i="1" s="1"/>
  <c r="AD70" i="1" s="1"/>
  <c r="Z69" i="1"/>
  <c r="Z68" i="1"/>
  <c r="AA68" i="1" s="1"/>
  <c r="Z67" i="1"/>
  <c r="AM67" i="1" s="1"/>
  <c r="Z66" i="1"/>
  <c r="AI66" i="1" s="1"/>
  <c r="Z65" i="1"/>
  <c r="AA65" i="1" s="1"/>
  <c r="AB65" i="1" s="1"/>
  <c r="Z64" i="1"/>
  <c r="AE64" i="1" s="1"/>
  <c r="AG64" i="1" s="1"/>
  <c r="AH64" i="1" s="1"/>
  <c r="Z63" i="1"/>
  <c r="AM63" i="1" s="1"/>
  <c r="Z62" i="1"/>
  <c r="Z61" i="1"/>
  <c r="AI61" i="1" s="1"/>
  <c r="Z60" i="1"/>
  <c r="Z59" i="1"/>
  <c r="AL59" i="1" s="1"/>
  <c r="Z58" i="1"/>
  <c r="Z57" i="1"/>
  <c r="AE57" i="1" s="1"/>
  <c r="Z56" i="1"/>
  <c r="Z55" i="1"/>
  <c r="Z54" i="1"/>
  <c r="AA54" i="1" s="1"/>
  <c r="Z53" i="1"/>
  <c r="Z52" i="1"/>
  <c r="AA52" i="1" s="1"/>
  <c r="Z51" i="1"/>
  <c r="AC51" i="1" s="1"/>
  <c r="Z50" i="1"/>
  <c r="AC50" i="1" s="1"/>
  <c r="Z49" i="1"/>
  <c r="AA49" i="1" s="1"/>
  <c r="AD49" i="1" s="1"/>
  <c r="Z48" i="1"/>
  <c r="AM48" i="1" s="1"/>
  <c r="Z47" i="1"/>
  <c r="Z46" i="1"/>
  <c r="AJ46" i="1" s="1"/>
  <c r="Z45" i="1"/>
  <c r="Z44" i="1"/>
  <c r="AJ44" i="1" s="1"/>
  <c r="Z43" i="1"/>
  <c r="AE43" i="1" s="1"/>
  <c r="Z42" i="1"/>
  <c r="AE42" i="1" s="1"/>
  <c r="AF42" i="1" s="1"/>
  <c r="Z41" i="1"/>
  <c r="AM41" i="1" s="1"/>
  <c r="Z40" i="1"/>
  <c r="AA40" i="1" s="1"/>
  <c r="Z39" i="1"/>
  <c r="AL39" i="1" s="1"/>
  <c r="Z38" i="1"/>
  <c r="AJ38" i="1" s="1"/>
  <c r="Z37" i="1"/>
  <c r="AA37" i="1" s="1"/>
  <c r="AD37" i="1" s="1"/>
  <c r="Z36" i="1"/>
  <c r="Z35" i="1"/>
  <c r="AM35" i="1" s="1"/>
  <c r="Z34" i="1"/>
  <c r="AM34" i="1" s="1"/>
  <c r="Z33" i="1"/>
  <c r="AI33" i="1" s="1"/>
  <c r="Z32" i="1"/>
  <c r="Z31" i="1"/>
  <c r="AJ31" i="1" s="1"/>
  <c r="Z30" i="1"/>
  <c r="AJ30" i="1" s="1"/>
  <c r="Z29" i="1"/>
  <c r="AM29" i="1" s="1"/>
  <c r="Z28" i="1"/>
  <c r="Z27" i="1"/>
  <c r="AI27" i="1" s="1"/>
  <c r="Z26" i="1"/>
  <c r="AE26" i="1" s="1"/>
  <c r="Z25" i="1"/>
  <c r="AI25" i="1" s="1"/>
  <c r="Z24" i="1"/>
  <c r="AI24" i="1" s="1"/>
  <c r="Z23" i="1"/>
  <c r="Z22" i="1"/>
  <c r="AA22" i="1" s="1"/>
  <c r="Z21" i="1"/>
  <c r="AA21" i="1" s="1"/>
  <c r="Z20" i="1"/>
  <c r="AA20" i="1" s="1"/>
  <c r="AD20" i="1" s="1"/>
  <c r="Z19" i="1"/>
  <c r="AA19" i="1" s="1"/>
  <c r="Z18" i="1"/>
  <c r="AM18" i="1" s="1"/>
  <c r="Z17" i="1"/>
  <c r="AM17" i="1" s="1"/>
  <c r="Z16" i="1"/>
  <c r="AJ16" i="1" s="1"/>
  <c r="Z15" i="1"/>
  <c r="AE15" i="1" s="1"/>
  <c r="AG15" i="1" s="1"/>
  <c r="AH15" i="1" s="1"/>
  <c r="Z14" i="1"/>
  <c r="AA14" i="1" s="1"/>
  <c r="Z13" i="1"/>
  <c r="AM13" i="1" s="1"/>
  <c r="Z12" i="1"/>
  <c r="AL12" i="1" s="1"/>
  <c r="Z11" i="1"/>
  <c r="AA11" i="1" s="1"/>
  <c r="Z10" i="1"/>
  <c r="AJ10" i="1" s="1"/>
  <c r="Z9" i="1"/>
  <c r="AA9" i="1" s="1"/>
  <c r="AD9" i="1" s="1"/>
  <c r="Z8" i="1"/>
  <c r="AA8" i="1" s="1"/>
  <c r="AB8" i="1" s="1"/>
  <c r="Z7" i="1"/>
  <c r="AA7" i="1" s="1"/>
  <c r="Z6" i="1"/>
  <c r="AA6" i="1" s="1"/>
  <c r="Z5" i="1"/>
  <c r="AM5" i="1" s="1"/>
  <c r="Z4" i="1"/>
  <c r="AE4" i="1" s="1"/>
  <c r="AG4" i="1" s="1"/>
  <c r="AH4" i="1" s="1"/>
  <c r="D5" i="4"/>
  <c r="AI4" i="1" l="1"/>
  <c r="AI9" i="1"/>
  <c r="AJ9" i="1"/>
  <c r="AL42" i="1"/>
  <c r="AM167" i="1"/>
  <c r="AM42" i="1"/>
  <c r="AM27" i="1"/>
  <c r="AE143" i="1"/>
  <c r="AI143" i="1"/>
  <c r="AJ186" i="1"/>
  <c r="AL186" i="1"/>
  <c r="AM186" i="1"/>
  <c r="AM152" i="1"/>
  <c r="AL27" i="1"/>
  <c r="AE175" i="1"/>
  <c r="AF175" i="1" s="1"/>
  <c r="AL187" i="1"/>
  <c r="AM99" i="1"/>
  <c r="AL152" i="1"/>
  <c r="AL167" i="1"/>
  <c r="AJ27" i="1"/>
  <c r="AL90" i="1"/>
  <c r="AL125" i="1"/>
  <c r="AE70" i="1"/>
  <c r="AF70" i="1" s="1"/>
  <c r="AL131" i="1"/>
  <c r="AM162" i="1"/>
  <c r="AI175" i="1"/>
  <c r="AM187" i="1"/>
  <c r="AJ4" i="1"/>
  <c r="AM22" i="1"/>
  <c r="AL38" i="1"/>
  <c r="AE152" i="1"/>
  <c r="AF152" i="1" s="1"/>
  <c r="AE167" i="1"/>
  <c r="AG167" i="1" s="1"/>
  <c r="AH167" i="1" s="1"/>
  <c r="AM120" i="1"/>
  <c r="AJ152" i="1"/>
  <c r="AI167" i="1"/>
  <c r="AF144" i="1"/>
  <c r="AG144" i="1"/>
  <c r="AH144" i="1" s="1"/>
  <c r="AB143" i="1"/>
  <c r="AD143" i="1"/>
  <c r="AI15" i="1"/>
  <c r="AL52" i="1"/>
  <c r="AA67" i="1"/>
  <c r="AB67" i="1" s="1"/>
  <c r="AI128" i="1"/>
  <c r="AM157" i="1"/>
  <c r="AM15" i="1"/>
  <c r="AL67" i="1"/>
  <c r="AC100" i="1"/>
  <c r="AC121" i="1"/>
  <c r="AL128" i="1"/>
  <c r="AI149" i="1"/>
  <c r="AA113" i="1"/>
  <c r="AB113" i="1" s="1"/>
  <c r="AM128" i="1"/>
  <c r="AJ149" i="1"/>
  <c r="AC142" i="1"/>
  <c r="AL149" i="1"/>
  <c r="AA187" i="1"/>
  <c r="AC17" i="1"/>
  <c r="AI75" i="1"/>
  <c r="AL129" i="1"/>
  <c r="AL142" i="1"/>
  <c r="AM149" i="1"/>
  <c r="AC187" i="1"/>
  <c r="AE17" i="1"/>
  <c r="AA27" i="1"/>
  <c r="AD27" i="1" s="1"/>
  <c r="AE46" i="1"/>
  <c r="AG46" i="1" s="1"/>
  <c r="AH46" i="1" s="1"/>
  <c r="AC85" i="1"/>
  <c r="AE94" i="1"/>
  <c r="AM129" i="1"/>
  <c r="AL176" i="1"/>
  <c r="AC27" i="1"/>
  <c r="AB70" i="1"/>
  <c r="AE125" i="1"/>
  <c r="AF125" i="1" s="1"/>
  <c r="AC162" i="1"/>
  <c r="AC169" i="1"/>
  <c r="AE187" i="1"/>
  <c r="AG187" i="1" s="1"/>
  <c r="AH187" i="1" s="1"/>
  <c r="AC9" i="1"/>
  <c r="AL17" i="1"/>
  <c r="AE27" i="1"/>
  <c r="AG27" i="1" s="1"/>
  <c r="AH27" i="1" s="1"/>
  <c r="AI38" i="1"/>
  <c r="AC70" i="1"/>
  <c r="AL86" i="1"/>
  <c r="AI125" i="1"/>
  <c r="AL151" i="1"/>
  <c r="AJ162" i="1"/>
  <c r="AE169" i="1"/>
  <c r="AF169" i="1" s="1"/>
  <c r="AA177" i="1"/>
  <c r="AD177" i="1" s="1"/>
  <c r="AI187" i="1"/>
  <c r="AE9" i="1"/>
  <c r="AG9" i="1" s="1"/>
  <c r="AH9" i="1" s="1"/>
  <c r="AM59" i="1"/>
  <c r="AM86" i="1"/>
  <c r="AJ125" i="1"/>
  <c r="AI131" i="1"/>
  <c r="AL162" i="1"/>
  <c r="AL169" i="1"/>
  <c r="AE87" i="1"/>
  <c r="AF87" i="1" s="1"/>
  <c r="AM40" i="1"/>
  <c r="AA127" i="1"/>
  <c r="AB127" i="1" s="1"/>
  <c r="AJ132" i="1"/>
  <c r="AL188" i="1"/>
  <c r="AC20" i="1"/>
  <c r="AI50" i="1"/>
  <c r="AL87" i="1"/>
  <c r="AI110" i="1"/>
  <c r="AJ165" i="1"/>
  <c r="AI172" i="1"/>
  <c r="AI12" i="1"/>
  <c r="AM87" i="1"/>
  <c r="AB99" i="1"/>
  <c r="AJ110" i="1"/>
  <c r="AI119" i="1"/>
  <c r="AE127" i="1"/>
  <c r="AF127" i="1" s="1"/>
  <c r="AL165" i="1"/>
  <c r="AJ172" i="1"/>
  <c r="AL50" i="1"/>
  <c r="AL110" i="1"/>
  <c r="AC49" i="1"/>
  <c r="AM19" i="1"/>
  <c r="AA81" i="1"/>
  <c r="AB81" i="1" s="1"/>
  <c r="AI87" i="1"/>
  <c r="AC98" i="1"/>
  <c r="AA119" i="1"/>
  <c r="AD119" i="1" s="1"/>
  <c r="AE50" i="1"/>
  <c r="AF50" i="1" s="1"/>
  <c r="AJ87" i="1"/>
  <c r="AC119" i="1"/>
  <c r="AE119" i="1"/>
  <c r="AG119" i="1" s="1"/>
  <c r="AH119" i="1" s="1"/>
  <c r="AC127" i="1"/>
  <c r="AM20" i="1"/>
  <c r="AC29" i="1"/>
  <c r="AC41" i="1"/>
  <c r="AJ50" i="1"/>
  <c r="AA82" i="1"/>
  <c r="AD82" i="1" s="1"/>
  <c r="AJ12" i="1"/>
  <c r="AI29" i="1"/>
  <c r="AE41" i="1"/>
  <c r="AF41" i="1" s="1"/>
  <c r="AL64" i="1"/>
  <c r="AE71" i="1"/>
  <c r="AG71" i="1" s="1"/>
  <c r="AH71" i="1" s="1"/>
  <c r="AC82" i="1"/>
  <c r="AC99" i="1"/>
  <c r="AI127" i="1"/>
  <c r="AM165" i="1"/>
  <c r="AL29" i="1"/>
  <c r="AM50" i="1"/>
  <c r="AM64" i="1"/>
  <c r="AJ82" i="1"/>
  <c r="AE99" i="1"/>
  <c r="AG99" i="1" s="1"/>
  <c r="AH99" i="1" s="1"/>
  <c r="AM110" i="1"/>
  <c r="AJ127" i="1"/>
  <c r="AC184" i="1"/>
  <c r="AJ22" i="1"/>
  <c r="AG42" i="1"/>
  <c r="AH42" i="1" s="1"/>
  <c r="AJ99" i="1"/>
  <c r="AC120" i="1"/>
  <c r="AL127" i="1"/>
  <c r="AI156" i="1"/>
  <c r="AL22" i="1"/>
  <c r="AI42" i="1"/>
  <c r="AM51" i="1"/>
  <c r="AE73" i="1"/>
  <c r="AF73" i="1" s="1"/>
  <c r="AC83" i="1"/>
  <c r="AI90" i="1"/>
  <c r="AL99" i="1"/>
  <c r="AJ156" i="1"/>
  <c r="AC167" i="1"/>
  <c r="AC175" i="1"/>
  <c r="AG26" i="1"/>
  <c r="AH26" i="1" s="1"/>
  <c r="AF26" i="1"/>
  <c r="AG104" i="1"/>
  <c r="AH104" i="1" s="1"/>
  <c r="AF104" i="1"/>
  <c r="AD100" i="1"/>
  <c r="AB100" i="1"/>
  <c r="AD7" i="1"/>
  <c r="AB7" i="1"/>
  <c r="AF133" i="1"/>
  <c r="AG133" i="1"/>
  <c r="AH133" i="1" s="1"/>
  <c r="AG173" i="1"/>
  <c r="AH173" i="1" s="1"/>
  <c r="AF173" i="1"/>
  <c r="AD166" i="1"/>
  <c r="AB166" i="1"/>
  <c r="AL55" i="1"/>
  <c r="AM55" i="1"/>
  <c r="AJ55" i="1"/>
  <c r="AM88" i="1"/>
  <c r="AI130" i="1"/>
  <c r="AE146" i="1"/>
  <c r="AG146" i="1" s="1"/>
  <c r="AH146" i="1" s="1"/>
  <c r="AC146" i="1"/>
  <c r="AA146" i="1"/>
  <c r="AI65" i="1"/>
  <c r="AL146" i="1"/>
  <c r="AA173" i="1"/>
  <c r="AD173" i="1" s="1"/>
  <c r="AA116" i="1"/>
  <c r="AD116" i="1" s="1"/>
  <c r="AM146" i="1"/>
  <c r="AA18" i="1"/>
  <c r="AD18" i="1" s="1"/>
  <c r="AC26" i="1"/>
  <c r="AM30" i="1"/>
  <c r="AJ78" i="1"/>
  <c r="AL91" i="1"/>
  <c r="AA104" i="1"/>
  <c r="AL111" i="1"/>
  <c r="AA111" i="1"/>
  <c r="AC111" i="1"/>
  <c r="AJ117" i="1"/>
  <c r="AL117" i="1"/>
  <c r="AI117" i="1"/>
  <c r="AA117" i="1"/>
  <c r="AC117" i="1"/>
  <c r="AF132" i="1"/>
  <c r="AG132" i="1"/>
  <c r="AH132" i="1" s="1"/>
  <c r="AA147" i="1"/>
  <c r="AI154" i="1"/>
  <c r="AL154" i="1"/>
  <c r="AE154" i="1"/>
  <c r="AG154" i="1" s="1"/>
  <c r="AH154" i="1" s="1"/>
  <c r="AJ154" i="1"/>
  <c r="AJ174" i="1"/>
  <c r="AE174" i="1"/>
  <c r="AG174" i="1" s="1"/>
  <c r="AH174" i="1" s="1"/>
  <c r="AA174" i="1"/>
  <c r="AM180" i="1"/>
  <c r="AE12" i="1"/>
  <c r="AA12" i="1"/>
  <c r="AD12" i="1" s="1"/>
  <c r="AC12" i="1"/>
  <c r="AC18" i="1"/>
  <c r="AA31" i="1"/>
  <c r="AM31" i="1"/>
  <c r="AL31" i="1"/>
  <c r="AI31" i="1"/>
  <c r="AE31" i="1"/>
  <c r="AG31" i="1" s="1"/>
  <c r="AH31" i="1" s="1"/>
  <c r="AC31" i="1"/>
  <c r="AC67" i="1"/>
  <c r="AJ67" i="1"/>
  <c r="AI67" i="1"/>
  <c r="AE67" i="1"/>
  <c r="AC71" i="1"/>
  <c r="AJ112" i="1"/>
  <c r="AM112" i="1"/>
  <c r="AL112" i="1"/>
  <c r="AE117" i="1"/>
  <c r="AG117" i="1" s="1"/>
  <c r="AH117" i="1" s="1"/>
  <c r="AA154" i="1"/>
  <c r="AC174" i="1"/>
  <c r="AM36" i="1"/>
  <c r="AL36" i="1"/>
  <c r="AJ36" i="1"/>
  <c r="AE36" i="1"/>
  <c r="AF36" i="1" s="1"/>
  <c r="AC115" i="1"/>
  <c r="AI115" i="1"/>
  <c r="AE115" i="1"/>
  <c r="AJ145" i="1"/>
  <c r="AC145" i="1"/>
  <c r="AI146" i="1"/>
  <c r="AJ146" i="1"/>
  <c r="AE58" i="1"/>
  <c r="AG58" i="1" s="1"/>
  <c r="AH58" i="1" s="1"/>
  <c r="AC58" i="1"/>
  <c r="AM140" i="1"/>
  <c r="AA133" i="1"/>
  <c r="AL123" i="1"/>
  <c r="AC133" i="1"/>
  <c r="AM154" i="1"/>
  <c r="AL115" i="1"/>
  <c r="AG43" i="1"/>
  <c r="AH43" i="1" s="1"/>
  <c r="AF43" i="1"/>
  <c r="AM171" i="1"/>
  <c r="AC171" i="1"/>
  <c r="AA171" i="1"/>
  <c r="AD171" i="1" s="1"/>
  <c r="AM109" i="1"/>
  <c r="AL109" i="1"/>
  <c r="AA115" i="1"/>
  <c r="AD115" i="1" s="1"/>
  <c r="AI96" i="1"/>
  <c r="AL96" i="1"/>
  <c r="AM159" i="1"/>
  <c r="AJ65" i="1"/>
  <c r="AM66" i="1"/>
  <c r="AL66" i="1"/>
  <c r="AJ66" i="1"/>
  <c r="AE66" i="1"/>
  <c r="AG66" i="1" s="1"/>
  <c r="AH66" i="1" s="1"/>
  <c r="AC66" i="1"/>
  <c r="AM147" i="1"/>
  <c r="AJ147" i="1"/>
  <c r="AI147" i="1"/>
  <c r="AE147" i="1"/>
  <c r="AC147" i="1"/>
  <c r="AE47" i="1"/>
  <c r="AG47" i="1" s="1"/>
  <c r="AH47" i="1" s="1"/>
  <c r="AC47" i="1"/>
  <c r="AA92" i="1"/>
  <c r="AB92" i="1" s="1"/>
  <c r="AL92" i="1"/>
  <c r="AM92" i="1"/>
  <c r="AJ92" i="1"/>
  <c r="AI123" i="1"/>
  <c r="AB112" i="1"/>
  <c r="AM183" i="1"/>
  <c r="AL183" i="1"/>
  <c r="AE183" i="1"/>
  <c r="AF183" i="1" s="1"/>
  <c r="AJ183" i="1"/>
  <c r="AI183" i="1"/>
  <c r="AC183" i="1"/>
  <c r="AI6" i="1"/>
  <c r="AI47" i="1"/>
  <c r="AL71" i="1"/>
  <c r="AE61" i="1"/>
  <c r="AB20" i="1"/>
  <c r="AI41" i="1"/>
  <c r="AL47" i="1"/>
  <c r="AE68" i="1"/>
  <c r="AF68" i="1" s="1"/>
  <c r="AJ72" i="1"/>
  <c r="AC72" i="1"/>
  <c r="AE112" i="1"/>
  <c r="AG112" i="1" s="1"/>
  <c r="AH112" i="1" s="1"/>
  <c r="AM164" i="1"/>
  <c r="AL164" i="1"/>
  <c r="AI164" i="1"/>
  <c r="AE164" i="1"/>
  <c r="AC164" i="1"/>
  <c r="AA164" i="1"/>
  <c r="AL101" i="1"/>
  <c r="AJ101" i="1"/>
  <c r="AE101" i="1"/>
  <c r="AG101" i="1" s="1"/>
  <c r="AH101" i="1" s="1"/>
  <c r="AC101" i="1"/>
  <c r="AC130" i="1"/>
  <c r="AB49" i="1"/>
  <c r="AE130" i="1"/>
  <c r="AF130" i="1" s="1"/>
  <c r="AI55" i="1"/>
  <c r="AM101" i="1"/>
  <c r="AM96" i="1"/>
  <c r="AL44" i="1"/>
  <c r="AI97" i="1"/>
  <c r="AM97" i="1"/>
  <c r="AL97" i="1"/>
  <c r="AG50" i="1"/>
  <c r="AH50" i="1" s="1"/>
  <c r="AI180" i="1"/>
  <c r="AA66" i="1"/>
  <c r="AE123" i="1"/>
  <c r="AL18" i="1"/>
  <c r="AA47" i="1"/>
  <c r="AJ71" i="1"/>
  <c r="AC92" i="1"/>
  <c r="AJ123" i="1"/>
  <c r="AJ7" i="1"/>
  <c r="AI7" i="1"/>
  <c r="AE7" i="1"/>
  <c r="AC7" i="1"/>
  <c r="AA33" i="1"/>
  <c r="AB33" i="1" s="1"/>
  <c r="AE33" i="1"/>
  <c r="AC33" i="1"/>
  <c r="AJ47" i="1"/>
  <c r="AM71" i="1"/>
  <c r="AJ33" i="1"/>
  <c r="AM47" i="1"/>
  <c r="AA53" i="1"/>
  <c r="AB53" i="1" s="1"/>
  <c r="AI53" i="1"/>
  <c r="AC53" i="1"/>
  <c r="AE53" i="1"/>
  <c r="AF53" i="1" s="1"/>
  <c r="AJ68" i="1"/>
  <c r="AE107" i="1"/>
  <c r="AG107" i="1" s="1"/>
  <c r="AH107" i="1" s="1"/>
  <c r="AC107" i="1"/>
  <c r="AA107" i="1"/>
  <c r="AI112" i="1"/>
  <c r="AD169" i="1"/>
  <c r="AE185" i="1"/>
  <c r="AF185" i="1" s="1"/>
  <c r="AC185" i="1"/>
  <c r="AA55" i="1"/>
  <c r="AB55" i="1" s="1"/>
  <c r="AA101" i="1"/>
  <c r="AJ115" i="1"/>
  <c r="AC30" i="1"/>
  <c r="AA30" i="1"/>
  <c r="AM10" i="1"/>
  <c r="AL10" i="1"/>
  <c r="AI10" i="1"/>
  <c r="AE10" i="1"/>
  <c r="AG10" i="1" s="1"/>
  <c r="AH10" i="1" s="1"/>
  <c r="AC10" i="1"/>
  <c r="AE30" i="1"/>
  <c r="AF30" i="1" s="1"/>
  <c r="AE140" i="1"/>
  <c r="AF140" i="1" s="1"/>
  <c r="AA10" i="1"/>
  <c r="AM104" i="1"/>
  <c r="AJ104" i="1"/>
  <c r="AI104" i="1"/>
  <c r="AJ180" i="1"/>
  <c r="AC104" i="1"/>
  <c r="AM133" i="1"/>
  <c r="AI133" i="1"/>
  <c r="AL133" i="1"/>
  <c r="AJ133" i="1"/>
  <c r="AD19" i="1"/>
  <c r="AB19" i="1"/>
  <c r="AA61" i="1"/>
  <c r="AD61" i="1" s="1"/>
  <c r="AM61" i="1"/>
  <c r="AL61" i="1"/>
  <c r="AJ61" i="1"/>
  <c r="AD148" i="1"/>
  <c r="AB148" i="1"/>
  <c r="AC61" i="1"/>
  <c r="AM12" i="1"/>
  <c r="AL33" i="1"/>
  <c r="AE48" i="1"/>
  <c r="AF48" i="1" s="1"/>
  <c r="AL48" i="1"/>
  <c r="AJ48" i="1"/>
  <c r="AI48" i="1"/>
  <c r="AJ53" i="1"/>
  <c r="AL69" i="1"/>
  <c r="AM69" i="1"/>
  <c r="AJ69" i="1"/>
  <c r="AG73" i="1"/>
  <c r="AH73" i="1" s="1"/>
  <c r="AI107" i="1"/>
  <c r="AJ134" i="1"/>
  <c r="AE134" i="1"/>
  <c r="AJ164" i="1"/>
  <c r="AA185" i="1"/>
  <c r="AF120" i="1"/>
  <c r="AG120" i="1"/>
  <c r="AH120" i="1" s="1"/>
  <c r="AE44" i="1"/>
  <c r="AF44" i="1" s="1"/>
  <c r="AC24" i="1"/>
  <c r="AL24" i="1"/>
  <c r="AM24" i="1"/>
  <c r="AJ24" i="1"/>
  <c r="AG70" i="1"/>
  <c r="AH70" i="1" s="1"/>
  <c r="AE24" i="1"/>
  <c r="AG24" i="1" s="1"/>
  <c r="AH24" i="1" s="1"/>
  <c r="AC173" i="1"/>
  <c r="AM173" i="1"/>
  <c r="AJ173" i="1"/>
  <c r="AI173" i="1"/>
  <c r="AL173" i="1"/>
  <c r="AM44" i="1"/>
  <c r="AI91" i="1"/>
  <c r="AA91" i="1"/>
  <c r="AD91" i="1" s="1"/>
  <c r="AE91" i="1"/>
  <c r="AG91" i="1" s="1"/>
  <c r="AH91" i="1" s="1"/>
  <c r="AC91" i="1"/>
  <c r="AA141" i="1"/>
  <c r="AB141" i="1" s="1"/>
  <c r="AM141" i="1"/>
  <c r="AJ141" i="1"/>
  <c r="AE141" i="1"/>
  <c r="AG141" i="1" s="1"/>
  <c r="AH141" i="1" s="1"/>
  <c r="AC141" i="1"/>
  <c r="AI141" i="1"/>
  <c r="AL30" i="1"/>
  <c r="AM58" i="1"/>
  <c r="AI78" i="1"/>
  <c r="AJ91" i="1"/>
  <c r="AC154" i="1"/>
  <c r="AM7" i="1"/>
  <c r="AM33" i="1"/>
  <c r="AA48" i="1"/>
  <c r="AL53" i="1"/>
  <c r="AL63" i="1"/>
  <c r="AI63" i="1"/>
  <c r="AA63" i="1"/>
  <c r="AD63" i="1" s="1"/>
  <c r="AI69" i="1"/>
  <c r="AJ107" i="1"/>
  <c r="AM134" i="1"/>
  <c r="AC144" i="1"/>
  <c r="AM144" i="1"/>
  <c r="AI144" i="1"/>
  <c r="AL144" i="1"/>
  <c r="AJ144" i="1"/>
  <c r="AE166" i="1"/>
  <c r="AG166" i="1" s="1"/>
  <c r="AH166" i="1" s="1"/>
  <c r="AI166" i="1"/>
  <c r="AC166" i="1"/>
  <c r="AJ109" i="1"/>
  <c r="AI44" i="1"/>
  <c r="AE102" i="1"/>
  <c r="AL102" i="1"/>
  <c r="AJ102" i="1"/>
  <c r="AI102" i="1"/>
  <c r="AI30" i="1"/>
  <c r="AC180" i="1"/>
  <c r="AI58" i="1"/>
  <c r="AJ26" i="1"/>
  <c r="AI26" i="1"/>
  <c r="AA26" i="1"/>
  <c r="AL141" i="1"/>
  <c r="C6" i="2"/>
  <c r="J6" i="2" s="1"/>
  <c r="AL104" i="1"/>
  <c r="AI92" i="1"/>
  <c r="AL7" i="1"/>
  <c r="AC48" i="1"/>
  <c r="AM53" i="1"/>
  <c r="AJ63" i="1"/>
  <c r="AL107" i="1"/>
  <c r="AL120" i="1"/>
  <c r="AJ120" i="1"/>
  <c r="AI120" i="1"/>
  <c r="AA170" i="1"/>
  <c r="C26" i="2"/>
  <c r="H26" i="2" s="1"/>
  <c r="AM170" i="1"/>
  <c r="AL170" i="1"/>
  <c r="AI170" i="1"/>
  <c r="AC170" i="1"/>
  <c r="AE170" i="1"/>
  <c r="AG170" i="1" s="1"/>
  <c r="AH170" i="1" s="1"/>
  <c r="AA46" i="1"/>
  <c r="AA51" i="1"/>
  <c r="AC151" i="1"/>
  <c r="AI160" i="1"/>
  <c r="AE176" i="1"/>
  <c r="AG176" i="1" s="1"/>
  <c r="AH176" i="1" s="1"/>
  <c r="AJ181" i="1"/>
  <c r="AC188" i="1"/>
  <c r="AA42" i="1"/>
  <c r="AC46" i="1"/>
  <c r="AC90" i="1"/>
  <c r="AA125" i="1"/>
  <c r="AC128" i="1"/>
  <c r="AE131" i="1"/>
  <c r="AI151" i="1"/>
  <c r="AJ160" i="1"/>
  <c r="AI176" i="1"/>
  <c r="AL181" i="1"/>
  <c r="AA186" i="1"/>
  <c r="AB186" i="1" s="1"/>
  <c r="AI188" i="1"/>
  <c r="D5" i="3"/>
  <c r="J5" i="3" s="1"/>
  <c r="AC160" i="1"/>
  <c r="AA176" i="1"/>
  <c r="AD176" i="1" s="1"/>
  <c r="AI181" i="1"/>
  <c r="AA15" i="1"/>
  <c r="AD15" i="1" s="1"/>
  <c r="AF15" i="1"/>
  <c r="AA29" i="1"/>
  <c r="AL51" i="1"/>
  <c r="AC73" i="1"/>
  <c r="AE90" i="1"/>
  <c r="AC110" i="1"/>
  <c r="AC125" i="1"/>
  <c r="AE128" i="1"/>
  <c r="AF128" i="1" s="1"/>
  <c r="AJ151" i="1"/>
  <c r="AJ176" i="1"/>
  <c r="AE186" i="1"/>
  <c r="AJ188" i="1"/>
  <c r="AJ15" i="1"/>
  <c r="AI46" i="1"/>
  <c r="AM151" i="1"/>
  <c r="AM176" i="1"/>
  <c r="AC182" i="1"/>
  <c r="AM188" i="1"/>
  <c r="AL15" i="1"/>
  <c r="AJ29" i="1"/>
  <c r="AJ42" i="1"/>
  <c r="AA94" i="1"/>
  <c r="AB94" i="1" s="1"/>
  <c r="AA121" i="1"/>
  <c r="AJ128" i="1"/>
  <c r="AJ131" i="1"/>
  <c r="AA162" i="1"/>
  <c r="AI186" i="1"/>
  <c r="AE135" i="1"/>
  <c r="AG135" i="1" s="1"/>
  <c r="AH135" i="1" s="1"/>
  <c r="AC43" i="1"/>
  <c r="AA50" i="1"/>
  <c r="AI59" i="1"/>
  <c r="AA64" i="1"/>
  <c r="AD64" i="1" s="1"/>
  <c r="AA87" i="1"/>
  <c r="AJ94" i="1"/>
  <c r="AI99" i="1"/>
  <c r="AL121" i="1"/>
  <c r="AA129" i="1"/>
  <c r="AC132" i="1"/>
  <c r="AI135" i="1"/>
  <c r="AC149" i="1"/>
  <c r="AI152" i="1"/>
  <c r="AE157" i="1"/>
  <c r="AF162" i="1"/>
  <c r="AA165" i="1"/>
  <c r="AD165" i="1" s="1"/>
  <c r="AJ178" i="1"/>
  <c r="AJ59" i="1"/>
  <c r="AI64" i="1"/>
  <c r="AL94" i="1"/>
  <c r="AE149" i="1"/>
  <c r="AE165" i="1"/>
  <c r="AF165" i="1" s="1"/>
  <c r="AL178" i="1"/>
  <c r="AI22" i="1"/>
  <c r="AJ64" i="1"/>
  <c r="AE75" i="1"/>
  <c r="AA83" i="1"/>
  <c r="AM94" i="1"/>
  <c r="AB119" i="1"/>
  <c r="AI162" i="1"/>
  <c r="AI165" i="1"/>
  <c r="K5" i="3"/>
  <c r="AD21" i="1"/>
  <c r="AB21" i="1"/>
  <c r="AD11" i="1"/>
  <c r="AB11" i="1"/>
  <c r="AD68" i="1"/>
  <c r="AB68" i="1"/>
  <c r="AG95" i="1"/>
  <c r="AH95" i="1" s="1"/>
  <c r="AF95" i="1"/>
  <c r="AD76" i="1"/>
  <c r="AB76" i="1"/>
  <c r="AD54" i="1"/>
  <c r="AB54" i="1"/>
  <c r="AD103" i="1"/>
  <c r="AB103" i="1"/>
  <c r="AD84" i="1"/>
  <c r="AB84" i="1"/>
  <c r="AB124" i="1"/>
  <c r="AD124" i="1"/>
  <c r="AD14" i="1"/>
  <c r="AB14" i="1"/>
  <c r="AM23" i="1"/>
  <c r="AJ23" i="1"/>
  <c r="AL23" i="1"/>
  <c r="C5" i="2"/>
  <c r="AI23" i="1"/>
  <c r="AA89" i="1"/>
  <c r="AG172" i="1"/>
  <c r="AH172" i="1" s="1"/>
  <c r="AC105" i="1"/>
  <c r="AI105" i="1"/>
  <c r="AJ105" i="1"/>
  <c r="AM105" i="1"/>
  <c r="AL105" i="1"/>
  <c r="AA105" i="1"/>
  <c r="AC136" i="1"/>
  <c r="AA136" i="1"/>
  <c r="AL136" i="1"/>
  <c r="AM136" i="1"/>
  <c r="AJ136" i="1"/>
  <c r="AI136" i="1"/>
  <c r="AE136" i="1"/>
  <c r="AM161" i="1"/>
  <c r="AJ161" i="1"/>
  <c r="AI161" i="1"/>
  <c r="AL161" i="1"/>
  <c r="AE161" i="1"/>
  <c r="AC161" i="1"/>
  <c r="AA161" i="1"/>
  <c r="AL179" i="1"/>
  <c r="AJ179" i="1"/>
  <c r="AI179" i="1"/>
  <c r="AM179" i="1"/>
  <c r="AC34" i="1"/>
  <c r="AC23" i="1"/>
  <c r="AE14" i="1"/>
  <c r="AE39" i="1"/>
  <c r="AF57" i="1"/>
  <c r="AG57" i="1"/>
  <c r="AH57" i="1" s="1"/>
  <c r="AA32" i="1"/>
  <c r="AE45" i="1"/>
  <c r="AA45" i="1"/>
  <c r="AM45" i="1"/>
  <c r="AJ45" i="1"/>
  <c r="AI45" i="1"/>
  <c r="AL45" i="1"/>
  <c r="AC45" i="1"/>
  <c r="AF92" i="1"/>
  <c r="AJ137" i="1"/>
  <c r="AM137" i="1"/>
  <c r="AL137" i="1"/>
  <c r="AI137" i="1"/>
  <c r="AC137" i="1"/>
  <c r="AA137" i="1"/>
  <c r="AB167" i="1"/>
  <c r="AA179" i="1"/>
  <c r="AF4" i="1"/>
  <c r="AE105" i="1"/>
  <c r="AD128" i="1"/>
  <c r="D7" i="3"/>
  <c r="AJ18" i="1"/>
  <c r="AI18" i="1"/>
  <c r="AE18" i="1"/>
  <c r="AC32" i="1"/>
  <c r="AI39" i="1"/>
  <c r="AF116" i="1"/>
  <c r="AE137" i="1"/>
  <c r="AA150" i="1"/>
  <c r="AJ150" i="1"/>
  <c r="AI150" i="1"/>
  <c r="AE150" i="1"/>
  <c r="AM150" i="1"/>
  <c r="AL150" i="1"/>
  <c r="AC179" i="1"/>
  <c r="AC56" i="1"/>
  <c r="AA56" i="1"/>
  <c r="AM56" i="1"/>
  <c r="AL56" i="1"/>
  <c r="AJ56" i="1"/>
  <c r="AE89" i="1"/>
  <c r="AM89" i="1"/>
  <c r="AL89" i="1"/>
  <c r="AJ89" i="1"/>
  <c r="AC89" i="1"/>
  <c r="AC76" i="1"/>
  <c r="AM76" i="1"/>
  <c r="AL76" i="1"/>
  <c r="AE5" i="1"/>
  <c r="AC5" i="1"/>
  <c r="AA5" i="1"/>
  <c r="AA25" i="1"/>
  <c r="AJ37" i="1"/>
  <c r="AI37" i="1"/>
  <c r="AE37" i="1"/>
  <c r="C7" i="2"/>
  <c r="AM37" i="1"/>
  <c r="AL37" i="1"/>
  <c r="AB40" i="1"/>
  <c r="AD40" i="1"/>
  <c r="AJ62" i="1"/>
  <c r="AI62" i="1"/>
  <c r="AE62" i="1"/>
  <c r="AM62" i="1"/>
  <c r="AL62" i="1"/>
  <c r="AC62" i="1"/>
  <c r="AA62" i="1"/>
  <c r="AJ76" i="1"/>
  <c r="AC103" i="1"/>
  <c r="AE126" i="1"/>
  <c r="AL158" i="1"/>
  <c r="AJ158" i="1"/>
  <c r="AI158" i="1"/>
  <c r="AE158" i="1"/>
  <c r="AM158" i="1"/>
  <c r="AC158" i="1"/>
  <c r="AE56" i="1"/>
  <c r="AC11" i="1"/>
  <c r="AI56" i="1"/>
  <c r="AL138" i="1"/>
  <c r="AJ138" i="1"/>
  <c r="AI138" i="1"/>
  <c r="AE138" i="1"/>
  <c r="AC138" i="1"/>
  <c r="AA138" i="1"/>
  <c r="AD52" i="1"/>
  <c r="AB52" i="1"/>
  <c r="AL108" i="1"/>
  <c r="AJ108" i="1"/>
  <c r="AI108" i="1"/>
  <c r="AE108" i="1"/>
  <c r="AM108" i="1"/>
  <c r="AA108" i="1"/>
  <c r="C17" i="2"/>
  <c r="AC108" i="1"/>
  <c r="AL95" i="1"/>
  <c r="AJ95" i="1"/>
  <c r="AC95" i="1"/>
  <c r="AM95" i="1"/>
  <c r="AI95" i="1"/>
  <c r="AE23" i="1"/>
  <c r="AD175" i="1"/>
  <c r="AB175" i="1"/>
  <c r="AF64" i="1"/>
  <c r="AL21" i="1"/>
  <c r="AJ21" i="1"/>
  <c r="AM21" i="1"/>
  <c r="AI21" i="1"/>
  <c r="AE21" i="1"/>
  <c r="AC21" i="1"/>
  <c r="AE179" i="1"/>
  <c r="B4" i="4"/>
  <c r="D2" i="3"/>
  <c r="C2" i="2"/>
  <c r="AA13" i="1"/>
  <c r="AI13" i="1"/>
  <c r="AC13" i="1"/>
  <c r="AB9" i="1"/>
  <c r="AI34" i="1"/>
  <c r="AL34" i="1"/>
  <c r="AE34" i="1"/>
  <c r="AJ34" i="1"/>
  <c r="AA34" i="1"/>
  <c r="AG143" i="1"/>
  <c r="AH143" i="1" s="1"/>
  <c r="AF143" i="1"/>
  <c r="AA35" i="1"/>
  <c r="AA39" i="1"/>
  <c r="AA80" i="1"/>
  <c r="AA95" i="1"/>
  <c r="AJ35" i="1"/>
  <c r="AJ39" i="1"/>
  <c r="AE76" i="1"/>
  <c r="AC126" i="1"/>
  <c r="AL126" i="1"/>
  <c r="AM84" i="1"/>
  <c r="AL84" i="1"/>
  <c r="AJ84" i="1"/>
  <c r="AE84" i="1"/>
  <c r="AI76" i="1"/>
  <c r="AE28" i="1"/>
  <c r="AM28" i="1"/>
  <c r="AL28" i="1"/>
  <c r="AI28" i="1"/>
  <c r="AJ28" i="1"/>
  <c r="AJ77" i="1"/>
  <c r="AI77" i="1"/>
  <c r="AE77" i="1"/>
  <c r="AA77" i="1"/>
  <c r="AC77" i="1"/>
  <c r="AM77" i="1"/>
  <c r="AL77" i="1"/>
  <c r="AC16" i="1"/>
  <c r="AL16" i="1"/>
  <c r="AM16" i="1"/>
  <c r="AI16" i="1"/>
  <c r="C4" i="2"/>
  <c r="AC25" i="1"/>
  <c r="AA28" i="1"/>
  <c r="AB37" i="1"/>
  <c r="AJ126" i="1"/>
  <c r="AA140" i="1"/>
  <c r="AI5" i="1"/>
  <c r="AE13" i="1"/>
  <c r="AA16" i="1"/>
  <c r="AC19" i="1"/>
  <c r="AJ19" i="1"/>
  <c r="AI19" i="1"/>
  <c r="AE19" i="1"/>
  <c r="AL19" i="1"/>
  <c r="AC37" i="1"/>
  <c r="AM49" i="1"/>
  <c r="AI49" i="1"/>
  <c r="AL49" i="1"/>
  <c r="AJ49" i="1"/>
  <c r="AE49" i="1"/>
  <c r="AM126" i="1"/>
  <c r="AL148" i="1"/>
  <c r="AJ148" i="1"/>
  <c r="AM148" i="1"/>
  <c r="AI148" i="1"/>
  <c r="AE148" i="1"/>
  <c r="AC148" i="1"/>
  <c r="C23" i="2"/>
  <c r="AM11" i="1"/>
  <c r="AJ11" i="1"/>
  <c r="AL11" i="1"/>
  <c r="AE11" i="1"/>
  <c r="AD85" i="1"/>
  <c r="AL80" i="1"/>
  <c r="AM80" i="1"/>
  <c r="AJ80" i="1"/>
  <c r="AI80" i="1"/>
  <c r="AE80" i="1"/>
  <c r="AI11" i="1"/>
  <c r="AA126" i="1"/>
  <c r="AE25" i="1"/>
  <c r="AJ25" i="1"/>
  <c r="AM25" i="1"/>
  <c r="AL25" i="1"/>
  <c r="AL68" i="1"/>
  <c r="AM68" i="1"/>
  <c r="AI68" i="1"/>
  <c r="AC84" i="1"/>
  <c r="AJ5" i="1"/>
  <c r="AJ13" i="1"/>
  <c r="AC28" i="1"/>
  <c r="AC68" i="1"/>
  <c r="AI84" i="1"/>
  <c r="AM143" i="1"/>
  <c r="AC143" i="1"/>
  <c r="AL143" i="1"/>
  <c r="AJ143" i="1"/>
  <c r="AM185" i="1"/>
  <c r="AL185" i="1"/>
  <c r="AJ185" i="1"/>
  <c r="AI185" i="1"/>
  <c r="C28" i="2"/>
  <c r="AD6" i="1"/>
  <c r="AB6" i="1"/>
  <c r="AI14" i="1"/>
  <c r="AM14" i="1"/>
  <c r="AJ14" i="1"/>
  <c r="AL14" i="1"/>
  <c r="AA23" i="1"/>
  <c r="AI74" i="1"/>
  <c r="AM74" i="1"/>
  <c r="AC74" i="1"/>
  <c r="AA74" i="1"/>
  <c r="AJ74" i="1"/>
  <c r="AE74" i="1"/>
  <c r="AL74" i="1"/>
  <c r="C12" i="2"/>
  <c r="AB118" i="1"/>
  <c r="AD118" i="1"/>
  <c r="AC14" i="1"/>
  <c r="AL35" i="1"/>
  <c r="AC35" i="1"/>
  <c r="AE35" i="1"/>
  <c r="AI35" i="1"/>
  <c r="AC39" i="1"/>
  <c r="AM39" i="1"/>
  <c r="AF9" i="1"/>
  <c r="AI89" i="1"/>
  <c r="AL32" i="1"/>
  <c r="AJ32" i="1"/>
  <c r="AI32" i="1"/>
  <c r="AE32" i="1"/>
  <c r="AM32" i="1"/>
  <c r="AB27" i="1"/>
  <c r="AI54" i="1"/>
  <c r="D4" i="3"/>
  <c r="AM54" i="1"/>
  <c r="AL54" i="1"/>
  <c r="AJ54" i="1"/>
  <c r="AC54" i="1"/>
  <c r="AE54" i="1"/>
  <c r="AM103" i="1"/>
  <c r="AL103" i="1"/>
  <c r="AI103" i="1"/>
  <c r="AJ103" i="1"/>
  <c r="AE103" i="1"/>
  <c r="AI114" i="1"/>
  <c r="D6" i="3"/>
  <c r="AM114" i="1"/>
  <c r="AJ114" i="1"/>
  <c r="C18" i="2"/>
  <c r="AL114" i="1"/>
  <c r="AE114" i="1"/>
  <c r="AC114" i="1"/>
  <c r="AL140" i="1"/>
  <c r="AJ140" i="1"/>
  <c r="AI140" i="1"/>
  <c r="AA114" i="1"/>
  <c r="AM124" i="1"/>
  <c r="AL124" i="1"/>
  <c r="AI124" i="1"/>
  <c r="AJ124" i="1"/>
  <c r="AE124" i="1"/>
  <c r="AB158" i="1"/>
  <c r="AL5" i="1"/>
  <c r="AM9" i="1"/>
  <c r="AL9" i="1"/>
  <c r="C3" i="2"/>
  <c r="AL13" i="1"/>
  <c r="AE16" i="1"/>
  <c r="C8" i="2"/>
  <c r="AA44" i="1"/>
  <c r="AC44" i="1"/>
  <c r="AJ52" i="1"/>
  <c r="AM52" i="1"/>
  <c r="AE52" i="1"/>
  <c r="AC52" i="1"/>
  <c r="AI52" i="1"/>
  <c r="AM85" i="1"/>
  <c r="AI85" i="1"/>
  <c r="AL85" i="1"/>
  <c r="AJ85" i="1"/>
  <c r="AE85" i="1"/>
  <c r="AL98" i="1"/>
  <c r="AM98" i="1"/>
  <c r="AE98" i="1"/>
  <c r="AA98" i="1"/>
  <c r="AJ98" i="1"/>
  <c r="AC124" i="1"/>
  <c r="AD22" i="1"/>
  <c r="AB22" i="1"/>
  <c r="AD163" i="1"/>
  <c r="AB163" i="1"/>
  <c r="AM172" i="1"/>
  <c r="AC172" i="1"/>
  <c r="AA172" i="1"/>
  <c r="AL172" i="1"/>
  <c r="AJ177" i="1"/>
  <c r="C27" i="2"/>
  <c r="AM177" i="1"/>
  <c r="AL177" i="1"/>
  <c r="AI177" i="1"/>
  <c r="AE177" i="1"/>
  <c r="AC88" i="1"/>
  <c r="AA88" i="1"/>
  <c r="AE122" i="1"/>
  <c r="AM122" i="1"/>
  <c r="AI122" i="1"/>
  <c r="AL122" i="1"/>
  <c r="AJ60" i="1"/>
  <c r="AI60" i="1"/>
  <c r="AM60" i="1"/>
  <c r="AL60" i="1"/>
  <c r="AA122" i="1"/>
  <c r="AB176" i="1"/>
  <c r="AJ8" i="1"/>
  <c r="AI8" i="1"/>
  <c r="AE8" i="1"/>
  <c r="AC8" i="1"/>
  <c r="AA60" i="1"/>
  <c r="AC86" i="1"/>
  <c r="AI86" i="1"/>
  <c r="C14" i="2"/>
  <c r="AE88" i="1"/>
  <c r="AA78" i="1"/>
  <c r="AM78" i="1"/>
  <c r="C15" i="2"/>
  <c r="AE93" i="1"/>
  <c r="AA93" i="1"/>
  <c r="AM93" i="1"/>
  <c r="AJ93" i="1"/>
  <c r="AI93" i="1"/>
  <c r="AE109" i="1"/>
  <c r="AA109" i="1"/>
  <c r="AC122" i="1"/>
  <c r="AG134" i="1"/>
  <c r="AH134" i="1" s="1"/>
  <c r="AF134" i="1"/>
  <c r="AC155" i="1"/>
  <c r="AI155" i="1"/>
  <c r="AE155" i="1"/>
  <c r="AM155" i="1"/>
  <c r="AL155" i="1"/>
  <c r="AM4" i="1"/>
  <c r="AL4" i="1"/>
  <c r="AD8" i="1"/>
  <c r="AM38" i="1"/>
  <c r="AE38" i="1"/>
  <c r="AA38" i="1"/>
  <c r="AL41" i="1"/>
  <c r="AJ41" i="1"/>
  <c r="AM43" i="1"/>
  <c r="AL43" i="1"/>
  <c r="AJ43" i="1"/>
  <c r="AI43" i="1"/>
  <c r="AC60" i="1"/>
  <c r="AG67" i="1"/>
  <c r="AH67" i="1" s="1"/>
  <c r="AF67" i="1"/>
  <c r="AC78" i="1"/>
  <c r="AE86" i="1"/>
  <c r="AC93" i="1"/>
  <c r="AD96" i="1"/>
  <c r="AB96" i="1"/>
  <c r="AM106" i="1"/>
  <c r="AL106" i="1"/>
  <c r="AI106" i="1"/>
  <c r="AJ106" i="1"/>
  <c r="AE106" i="1"/>
  <c r="AC106" i="1"/>
  <c r="AC109" i="1"/>
  <c r="AA155" i="1"/>
  <c r="AI57" i="1"/>
  <c r="AM57" i="1"/>
  <c r="AL57" i="1"/>
  <c r="AJ57" i="1"/>
  <c r="AC57" i="1"/>
  <c r="AA57" i="1"/>
  <c r="AF10" i="1"/>
  <c r="AL8" i="1"/>
  <c r="AF24" i="1"/>
  <c r="AC38" i="1"/>
  <c r="AA41" i="1"/>
  <c r="AD65" i="1"/>
  <c r="AE72" i="1"/>
  <c r="AL72" i="1"/>
  <c r="AM72" i="1"/>
  <c r="AI72" i="1"/>
  <c r="AI88" i="1"/>
  <c r="AF99" i="1"/>
  <c r="AA106" i="1"/>
  <c r="AA130" i="1"/>
  <c r="AM130" i="1"/>
  <c r="AL130" i="1"/>
  <c r="AJ155" i="1"/>
  <c r="C20" i="2"/>
  <c r="AM6" i="1"/>
  <c r="AL6" i="1"/>
  <c r="AJ6" i="1"/>
  <c r="AB86" i="1"/>
  <c r="AD86" i="1"/>
  <c r="AA4" i="1"/>
  <c r="AC6" i="1"/>
  <c r="AA43" i="1"/>
  <c r="C10" i="2"/>
  <c r="AL58" i="1"/>
  <c r="AJ58" i="1"/>
  <c r="AC4" i="1"/>
  <c r="AE6" i="1"/>
  <c r="AM8" i="1"/>
  <c r="AA58" i="1"/>
  <c r="AE60" i="1"/>
  <c r="AA72" i="1"/>
  <c r="AD75" i="1"/>
  <c r="AE78" i="1"/>
  <c r="AE81" i="1"/>
  <c r="AC81" i="1"/>
  <c r="AJ81" i="1"/>
  <c r="AM81" i="1"/>
  <c r="AL81" i="1"/>
  <c r="AJ86" i="1"/>
  <c r="AJ88" i="1"/>
  <c r="AI109" i="1"/>
  <c r="AJ122" i="1"/>
  <c r="C21" i="2"/>
  <c r="AM135" i="1"/>
  <c r="AL135" i="1"/>
  <c r="AC135" i="1"/>
  <c r="AA135" i="1"/>
  <c r="AB147" i="1"/>
  <c r="AD147" i="1"/>
  <c r="AD156" i="1"/>
  <c r="AB156" i="1"/>
  <c r="AL160" i="1"/>
  <c r="AE160" i="1"/>
  <c r="AA160" i="1"/>
  <c r="AM163" i="1"/>
  <c r="AI163" i="1"/>
  <c r="AE163" i="1"/>
  <c r="AL163" i="1"/>
  <c r="AC163" i="1"/>
  <c r="C25" i="2"/>
  <c r="AJ163" i="1"/>
  <c r="AE168" i="1"/>
  <c r="AA168" i="1"/>
  <c r="AL20" i="1"/>
  <c r="AJ20" i="1"/>
  <c r="AI20" i="1"/>
  <c r="AC36" i="1"/>
  <c r="AA36" i="1"/>
  <c r="AL100" i="1"/>
  <c r="C16" i="2"/>
  <c r="AI100" i="1"/>
  <c r="AM100" i="1"/>
  <c r="AE100" i="1"/>
  <c r="AM111" i="1"/>
  <c r="AJ111" i="1"/>
  <c r="AI111" i="1"/>
  <c r="AI113" i="1"/>
  <c r="AE113" i="1"/>
  <c r="AM153" i="1"/>
  <c r="AL153" i="1"/>
  <c r="AI153" i="1"/>
  <c r="AE153" i="1"/>
  <c r="AC153" i="1"/>
  <c r="AC168" i="1"/>
  <c r="C9" i="2"/>
  <c r="AL40" i="1"/>
  <c r="AJ40" i="1"/>
  <c r="AI40" i="1"/>
  <c r="AJ79" i="1"/>
  <c r="C13" i="2"/>
  <c r="AI79" i="1"/>
  <c r="AE79" i="1"/>
  <c r="AA79" i="1"/>
  <c r="AC96" i="1"/>
  <c r="AJ96" i="1"/>
  <c r="AE118" i="1"/>
  <c r="AC118" i="1"/>
  <c r="AM118" i="1"/>
  <c r="AI118" i="1"/>
  <c r="AB153" i="1"/>
  <c r="AD153" i="1"/>
  <c r="AC15" i="1"/>
  <c r="AA24" i="1"/>
  <c r="AC40" i="1"/>
  <c r="AM46" i="1"/>
  <c r="AL46" i="1"/>
  <c r="AE51" i="1"/>
  <c r="AC55" i="1"/>
  <c r="AC63" i="1"/>
  <c r="AC69" i="1"/>
  <c r="AA69" i="1"/>
  <c r="AJ113" i="1"/>
  <c r="AC116" i="1"/>
  <c r="AM116" i="1"/>
  <c r="AL116" i="1"/>
  <c r="AJ116" i="1"/>
  <c r="AI116" i="1"/>
  <c r="AJ139" i="1"/>
  <c r="AJ153" i="1"/>
  <c r="AL168" i="1"/>
  <c r="AG188" i="1"/>
  <c r="AH188" i="1" s="1"/>
  <c r="AF188" i="1"/>
  <c r="D3" i="3"/>
  <c r="AE22" i="1"/>
  <c r="AC22" i="1"/>
  <c r="AE29" i="1"/>
  <c r="AI51" i="1"/>
  <c r="AL79" i="1"/>
  <c r="AE96" i="1"/>
  <c r="AE111" i="1"/>
  <c r="AL113" i="1"/>
  <c r="AJ118" i="1"/>
  <c r="AM132" i="1"/>
  <c r="AL132" i="1"/>
  <c r="AI132" i="1"/>
  <c r="AI134" i="1"/>
  <c r="AC134" i="1"/>
  <c r="AL134" i="1"/>
  <c r="AE142" i="1"/>
  <c r="AJ142" i="1"/>
  <c r="AI142" i="1"/>
  <c r="C22" i="2"/>
  <c r="AB149" i="1"/>
  <c r="AD149" i="1"/>
  <c r="AG151" i="1"/>
  <c r="AH151" i="1" s="1"/>
  <c r="AJ159" i="1"/>
  <c r="AI159" i="1"/>
  <c r="AE159" i="1"/>
  <c r="AC159" i="1"/>
  <c r="AM168" i="1"/>
  <c r="AE181" i="1"/>
  <c r="AA181" i="1"/>
  <c r="AC156" i="1"/>
  <c r="C24" i="2"/>
  <c r="AM156" i="1"/>
  <c r="AL156" i="1"/>
  <c r="AI168" i="1"/>
  <c r="AG175" i="1"/>
  <c r="AH175" i="1" s="1"/>
  <c r="AC59" i="1"/>
  <c r="AE59" i="1"/>
  <c r="AA59" i="1"/>
  <c r="AE65" i="1"/>
  <c r="AM65" i="1"/>
  <c r="AL65" i="1"/>
  <c r="C11" i="2"/>
  <c r="AM75" i="1"/>
  <c r="AL75" i="1"/>
  <c r="AJ75" i="1"/>
  <c r="AC79" i="1"/>
  <c r="AG83" i="1"/>
  <c r="AH83" i="1" s="1"/>
  <c r="AE139" i="1"/>
  <c r="AA139" i="1"/>
  <c r="AI139" i="1"/>
  <c r="AC139" i="1"/>
  <c r="AJ168" i="1"/>
  <c r="AC178" i="1"/>
  <c r="AA178" i="1"/>
  <c r="AE178" i="1"/>
  <c r="AJ17" i="1"/>
  <c r="AI17" i="1"/>
  <c r="AE20" i="1"/>
  <c r="AA17" i="1"/>
  <c r="AL26" i="1"/>
  <c r="AM26" i="1"/>
  <c r="AI36" i="1"/>
  <c r="AE40" i="1"/>
  <c r="AJ51" i="1"/>
  <c r="AE55" i="1"/>
  <c r="AE63" i="1"/>
  <c r="AC65" i="1"/>
  <c r="AE69" i="1"/>
  <c r="AA71" i="1"/>
  <c r="AA73" i="1"/>
  <c r="AC75" i="1"/>
  <c r="AM79" i="1"/>
  <c r="AE82" i="1"/>
  <c r="AM82" i="1"/>
  <c r="AI82" i="1"/>
  <c r="AJ100" i="1"/>
  <c r="AM113" i="1"/>
  <c r="AL118" i="1"/>
  <c r="C19" i="2"/>
  <c r="AA132" i="1"/>
  <c r="AA134" i="1"/>
  <c r="AM139" i="1"/>
  <c r="AA142" i="1"/>
  <c r="AE156" i="1"/>
  <c r="AA159" i="1"/>
  <c r="AM169" i="1"/>
  <c r="AJ169" i="1"/>
  <c r="AI169" i="1"/>
  <c r="AJ171" i="1"/>
  <c r="AI171" i="1"/>
  <c r="AE171" i="1"/>
  <c r="AL171" i="1"/>
  <c r="AI178" i="1"/>
  <c r="AC181" i="1"/>
  <c r="AM145" i="1"/>
  <c r="AL145" i="1"/>
  <c r="AI145" i="1"/>
  <c r="AJ157" i="1"/>
  <c r="AC157" i="1"/>
  <c r="AA157" i="1"/>
  <c r="AE182" i="1"/>
  <c r="AM182" i="1"/>
  <c r="AJ182" i="1"/>
  <c r="AI182" i="1"/>
  <c r="AI184" i="1"/>
  <c r="AE184" i="1"/>
  <c r="AA145" i="1"/>
  <c r="AA151" i="1"/>
  <c r="AA180" i="1"/>
  <c r="AA182" i="1"/>
  <c r="AA184" i="1"/>
  <c r="AA188" i="1"/>
  <c r="AC42" i="1"/>
  <c r="AC64" i="1"/>
  <c r="AJ97" i="1"/>
  <c r="AE97" i="1"/>
  <c r="AC97" i="1"/>
  <c r="AA97" i="1"/>
  <c r="AL119" i="1"/>
  <c r="AJ119" i="1"/>
  <c r="AJ121" i="1"/>
  <c r="AI121" i="1"/>
  <c r="AE121" i="1"/>
  <c r="AE145" i="1"/>
  <c r="AI174" i="1"/>
  <c r="AM174" i="1"/>
  <c r="AL174" i="1"/>
  <c r="AE180" i="1"/>
  <c r="AJ184" i="1"/>
  <c r="AA90" i="1"/>
  <c r="AM90" i="1"/>
  <c r="AJ129" i="1"/>
  <c r="AI129" i="1"/>
  <c r="AE129" i="1"/>
  <c r="AI157" i="1"/>
  <c r="AM166" i="1"/>
  <c r="AL166" i="1"/>
  <c r="AJ166" i="1"/>
  <c r="AL184" i="1"/>
  <c r="AA102" i="1"/>
  <c r="AB110" i="1"/>
  <c r="AA123" i="1"/>
  <c r="AA131" i="1"/>
  <c r="AA144" i="1"/>
  <c r="AA152" i="1"/>
  <c r="AC102" i="1"/>
  <c r="AC123" i="1"/>
  <c r="AC94" i="1"/>
  <c r="AE110" i="1"/>
  <c r="AA120" i="1"/>
  <c r="D8" i="3"/>
  <c r="AA183" i="1"/>
  <c r="AF27" i="1" l="1"/>
  <c r="AB165" i="1"/>
  <c r="AG152" i="1"/>
  <c r="AH152" i="1" s="1"/>
  <c r="AD127" i="1"/>
  <c r="AG185" i="1"/>
  <c r="AH185" i="1" s="1"/>
  <c r="AF167" i="1"/>
  <c r="AF117" i="1"/>
  <c r="AF71" i="1"/>
  <c r="AF112" i="1"/>
  <c r="AD81" i="1"/>
  <c r="AG140" i="1"/>
  <c r="AH140" i="1" s="1"/>
  <c r="AF119" i="1"/>
  <c r="AF101" i="1"/>
  <c r="AG48" i="1"/>
  <c r="AH48" i="1" s="1"/>
  <c r="D8" i="2"/>
  <c r="E8" i="2"/>
  <c r="AF31" i="1"/>
  <c r="AG87" i="1"/>
  <c r="AH87" i="1" s="1"/>
  <c r="AB82" i="1"/>
  <c r="AG127" i="1"/>
  <c r="AH127" i="1" s="1"/>
  <c r="AF170" i="1"/>
  <c r="AB115" i="1"/>
  <c r="E8" i="3"/>
  <c r="AF17" i="1"/>
  <c r="AG17" i="1"/>
  <c r="AH17" i="1" s="1"/>
  <c r="AB116" i="1"/>
  <c r="AF187" i="1"/>
  <c r="AD53" i="1"/>
  <c r="AG94" i="1"/>
  <c r="AH94" i="1" s="1"/>
  <c r="AF94" i="1"/>
  <c r="AD94" i="1"/>
  <c r="F8" i="2"/>
  <c r="AF66" i="1"/>
  <c r="AF91" i="1"/>
  <c r="AG169" i="1"/>
  <c r="AH169" i="1" s="1"/>
  <c r="AB177" i="1"/>
  <c r="AD67" i="1"/>
  <c r="AB64" i="1"/>
  <c r="AD113" i="1"/>
  <c r="AG41" i="1"/>
  <c r="AH41" i="1" s="1"/>
  <c r="AF166" i="1"/>
  <c r="AF174" i="1"/>
  <c r="AF141" i="1"/>
  <c r="AD141" i="1"/>
  <c r="AB63" i="1"/>
  <c r="AD186" i="1"/>
  <c r="AG30" i="1"/>
  <c r="AH30" i="1" s="1"/>
  <c r="AF46" i="1"/>
  <c r="I5" i="3"/>
  <c r="AG125" i="1"/>
  <c r="AH125" i="1" s="1"/>
  <c r="AB187" i="1"/>
  <c r="AD187" i="1"/>
  <c r="AD30" i="1"/>
  <c r="AB30" i="1"/>
  <c r="AD170" i="1"/>
  <c r="AB170" i="1"/>
  <c r="AB48" i="1"/>
  <c r="AD48" i="1"/>
  <c r="AB18" i="1"/>
  <c r="AF147" i="1"/>
  <c r="AG147" i="1"/>
  <c r="AH147" i="1" s="1"/>
  <c r="AD111" i="1"/>
  <c r="AB111" i="1"/>
  <c r="AF7" i="1"/>
  <c r="AG7" i="1"/>
  <c r="AH7" i="1" s="1"/>
  <c r="AB12" i="1"/>
  <c r="I26" i="2"/>
  <c r="AF176" i="1"/>
  <c r="AF47" i="1"/>
  <c r="AD42" i="1"/>
  <c r="AB42" i="1"/>
  <c r="AD174" i="1"/>
  <c r="AB174" i="1"/>
  <c r="F3" i="2"/>
  <c r="AF131" i="1"/>
  <c r="AG131" i="1"/>
  <c r="AH131" i="1" s="1"/>
  <c r="AB101" i="1"/>
  <c r="AD101" i="1"/>
  <c r="D26" i="2"/>
  <c r="AF61" i="1"/>
  <c r="AG61" i="1"/>
  <c r="AH61" i="1" s="1"/>
  <c r="AG183" i="1"/>
  <c r="AH183" i="1" s="1"/>
  <c r="AB125" i="1"/>
  <c r="AD125" i="1"/>
  <c r="AG12" i="1"/>
  <c r="AH12" i="1" s="1"/>
  <c r="AF12" i="1"/>
  <c r="AB61" i="1"/>
  <c r="AD154" i="1"/>
  <c r="AB154" i="1"/>
  <c r="AB173" i="1"/>
  <c r="J26" i="2"/>
  <c r="AG165" i="1"/>
  <c r="AH165" i="1" s="1"/>
  <c r="AF107" i="1"/>
  <c r="AG157" i="1"/>
  <c r="AH157" i="1" s="1"/>
  <c r="AF157" i="1"/>
  <c r="AD121" i="1"/>
  <c r="AB121" i="1"/>
  <c r="AB107" i="1"/>
  <c r="AD107" i="1"/>
  <c r="AB133" i="1"/>
  <c r="AD133" i="1"/>
  <c r="AF149" i="1"/>
  <c r="AG149" i="1"/>
  <c r="AH149" i="1" s="1"/>
  <c r="AG33" i="1"/>
  <c r="AH33" i="1" s="1"/>
  <c r="AF33" i="1"/>
  <c r="AG102" i="1"/>
  <c r="AH102" i="1" s="1"/>
  <c r="AF102" i="1"/>
  <c r="AD162" i="1"/>
  <c r="AB162" i="1"/>
  <c r="AD104" i="1"/>
  <c r="AB104" i="1"/>
  <c r="E26" i="2"/>
  <c r="F4" i="3"/>
  <c r="AF90" i="1"/>
  <c r="AG90" i="1"/>
  <c r="AH90" i="1" s="1"/>
  <c r="AF146" i="1"/>
  <c r="D21" i="2"/>
  <c r="AF154" i="1"/>
  <c r="AD92" i="1"/>
  <c r="AD29" i="1"/>
  <c r="AB29" i="1"/>
  <c r="AB50" i="1"/>
  <c r="AD50" i="1"/>
  <c r="AB47" i="1"/>
  <c r="AD47" i="1"/>
  <c r="AD31" i="1"/>
  <c r="AB31" i="1"/>
  <c r="AB164" i="1"/>
  <c r="AD164" i="1"/>
  <c r="AD33" i="1"/>
  <c r="AD10" i="1"/>
  <c r="AB10" i="1"/>
  <c r="AB15" i="1"/>
  <c r="AD55" i="1"/>
  <c r="AF58" i="1"/>
  <c r="AB129" i="1"/>
  <c r="AD129" i="1"/>
  <c r="E20" i="2"/>
  <c r="H6" i="2"/>
  <c r="AB46" i="1"/>
  <c r="AD46" i="1"/>
  <c r="AD26" i="1"/>
  <c r="AB26" i="1"/>
  <c r="D6" i="2"/>
  <c r="F6" i="2"/>
  <c r="AD83" i="1"/>
  <c r="AB83" i="1"/>
  <c r="I6" i="2"/>
  <c r="AG123" i="1"/>
  <c r="AH123" i="1" s="1"/>
  <c r="AF123" i="1"/>
  <c r="AG128" i="1"/>
  <c r="AH128" i="1" s="1"/>
  <c r="AF135" i="1"/>
  <c r="AG53" i="1"/>
  <c r="AH53" i="1" s="1"/>
  <c r="AB91" i="1"/>
  <c r="AB171" i="1"/>
  <c r="AG68" i="1"/>
  <c r="AH68" i="1" s="1"/>
  <c r="AG75" i="1"/>
  <c r="AH75" i="1" s="1"/>
  <c r="AF75" i="1"/>
  <c r="AD185" i="1"/>
  <c r="AB185" i="1"/>
  <c r="AG186" i="1"/>
  <c r="AH186" i="1" s="1"/>
  <c r="AF186" i="1"/>
  <c r="AG164" i="1"/>
  <c r="AH164" i="1" s="1"/>
  <c r="AF164" i="1"/>
  <c r="AD66" i="1"/>
  <c r="AB66" i="1"/>
  <c r="AD146" i="1"/>
  <c r="AB146" i="1"/>
  <c r="D3" i="2"/>
  <c r="AD51" i="1"/>
  <c r="AB51" i="1"/>
  <c r="AG44" i="1"/>
  <c r="AH44" i="1" s="1"/>
  <c r="AG36" i="1"/>
  <c r="AH36" i="1" s="1"/>
  <c r="AG130" i="1"/>
  <c r="AH130" i="1" s="1"/>
  <c r="AB87" i="1"/>
  <c r="AD87" i="1"/>
  <c r="AG115" i="1"/>
  <c r="AH115" i="1" s="1"/>
  <c r="AF115" i="1"/>
  <c r="AD117" i="1"/>
  <c r="AB117" i="1"/>
  <c r="B10" i="4"/>
  <c r="AG155" i="1"/>
  <c r="AH155" i="1" s="1"/>
  <c r="AF155" i="1"/>
  <c r="AD114" i="1"/>
  <c r="AB114" i="1"/>
  <c r="I11" i="2"/>
  <c r="H11" i="2"/>
  <c r="J11" i="2"/>
  <c r="I3" i="3"/>
  <c r="AG126" i="1"/>
  <c r="AH126" i="1" s="1"/>
  <c r="AF126" i="1"/>
  <c r="AD89" i="1"/>
  <c r="AB89" i="1"/>
  <c r="AG88" i="1"/>
  <c r="AH88" i="1" s="1"/>
  <c r="AF88" i="1"/>
  <c r="E4" i="3"/>
  <c r="AD17" i="1"/>
  <c r="AB17" i="1"/>
  <c r="E11" i="2"/>
  <c r="AF65" i="1"/>
  <c r="F11" i="2"/>
  <c r="D11" i="2"/>
  <c r="AG65" i="1"/>
  <c r="AH65" i="1" s="1"/>
  <c r="AG113" i="1"/>
  <c r="AH113" i="1" s="1"/>
  <c r="AF113" i="1"/>
  <c r="AB130" i="1"/>
  <c r="AD130" i="1"/>
  <c r="AG122" i="1"/>
  <c r="AH122" i="1" s="1"/>
  <c r="AF122" i="1"/>
  <c r="AD44" i="1"/>
  <c r="AB44" i="1"/>
  <c r="G5" i="3"/>
  <c r="I17" i="2"/>
  <c r="J17" i="2"/>
  <c r="H17" i="2"/>
  <c r="AF110" i="1"/>
  <c r="AG110" i="1"/>
  <c r="AH110" i="1" s="1"/>
  <c r="AD79" i="1"/>
  <c r="AB79" i="1"/>
  <c r="AG109" i="1"/>
  <c r="AH109" i="1" s="1"/>
  <c r="AF109" i="1"/>
  <c r="AB60" i="1"/>
  <c r="AD60" i="1"/>
  <c r="I3" i="2"/>
  <c r="J3" i="2"/>
  <c r="H3" i="2"/>
  <c r="AD35" i="1"/>
  <c r="AB35" i="1"/>
  <c r="AF97" i="1"/>
  <c r="AG97" i="1"/>
  <c r="AH97" i="1" s="1"/>
  <c r="AD132" i="1"/>
  <c r="AB132" i="1"/>
  <c r="AF96" i="1"/>
  <c r="AG96" i="1"/>
  <c r="AH96" i="1" s="1"/>
  <c r="AG118" i="1"/>
  <c r="AH118" i="1" s="1"/>
  <c r="AF118" i="1"/>
  <c r="J19" i="2"/>
  <c r="I19" i="2"/>
  <c r="H19" i="2"/>
  <c r="AG159" i="1"/>
  <c r="AH159" i="1" s="1"/>
  <c r="AF159" i="1"/>
  <c r="AG76" i="1"/>
  <c r="AH76" i="1" s="1"/>
  <c r="AF76" i="1"/>
  <c r="AD25" i="1"/>
  <c r="AB25" i="1"/>
  <c r="AF129" i="1"/>
  <c r="AG129" i="1"/>
  <c r="AH129" i="1" s="1"/>
  <c r="J25" i="2"/>
  <c r="I25" i="2"/>
  <c r="H25" i="2"/>
  <c r="J4" i="3"/>
  <c r="I4" i="3"/>
  <c r="K4" i="3"/>
  <c r="AB13" i="1"/>
  <c r="AD13" i="1"/>
  <c r="AB120" i="1"/>
  <c r="AD120" i="1"/>
  <c r="AD182" i="1"/>
  <c r="AB182" i="1"/>
  <c r="AG59" i="1"/>
  <c r="AH59" i="1" s="1"/>
  <c r="AF59" i="1"/>
  <c r="AG51" i="1"/>
  <c r="AH51" i="1" s="1"/>
  <c r="AF51" i="1"/>
  <c r="F9" i="2"/>
  <c r="E9" i="2"/>
  <c r="D9" i="2"/>
  <c r="E25" i="2"/>
  <c r="AG163" i="1"/>
  <c r="AH163" i="1" s="1"/>
  <c r="D25" i="2"/>
  <c r="AF163" i="1"/>
  <c r="F25" i="2"/>
  <c r="AD155" i="1"/>
  <c r="AB155" i="1"/>
  <c r="AD109" i="1"/>
  <c r="AB109" i="1"/>
  <c r="AF25" i="1"/>
  <c r="AG25" i="1"/>
  <c r="AH25" i="1" s="1"/>
  <c r="AB80" i="1"/>
  <c r="AD80" i="1"/>
  <c r="I12" i="2"/>
  <c r="H12" i="2"/>
  <c r="J12" i="2"/>
  <c r="AD126" i="1"/>
  <c r="AB126" i="1"/>
  <c r="AD39" i="1"/>
  <c r="AB39" i="1"/>
  <c r="B7" i="4"/>
  <c r="B6" i="4"/>
  <c r="B5" i="4"/>
  <c r="G2" i="3"/>
  <c r="E2" i="2"/>
  <c r="F2" i="3"/>
  <c r="D2" i="2"/>
  <c r="E2" i="3"/>
  <c r="F2" i="2"/>
  <c r="F26" i="2"/>
  <c r="AF142" i="1"/>
  <c r="D22" i="2"/>
  <c r="F22" i="2"/>
  <c r="E22" i="2"/>
  <c r="AG142" i="1"/>
  <c r="AH142" i="1" s="1"/>
  <c r="AB24" i="1"/>
  <c r="AD24" i="1"/>
  <c r="AF160" i="1"/>
  <c r="AG160" i="1"/>
  <c r="AH160" i="1" s="1"/>
  <c r="I7" i="3"/>
  <c r="J7" i="3"/>
  <c r="K7" i="3"/>
  <c r="AD45" i="1"/>
  <c r="AB45" i="1"/>
  <c r="AD144" i="1"/>
  <c r="AB144" i="1"/>
  <c r="AF145" i="1"/>
  <c r="AG145" i="1"/>
  <c r="AH145" i="1" s="1"/>
  <c r="E7" i="3"/>
  <c r="F7" i="3"/>
  <c r="AG184" i="1"/>
  <c r="AH184" i="1" s="1"/>
  <c r="G28" i="2" s="1"/>
  <c r="AF184" i="1"/>
  <c r="E28" i="2"/>
  <c r="D28" i="2"/>
  <c r="F28" i="2"/>
  <c r="AB73" i="1"/>
  <c r="AD73" i="1"/>
  <c r="AF150" i="1"/>
  <c r="F23" i="2"/>
  <c r="E23" i="2"/>
  <c r="D23" i="2"/>
  <c r="AG150" i="1"/>
  <c r="AH150" i="1" s="1"/>
  <c r="AF45" i="1"/>
  <c r="AG45" i="1"/>
  <c r="AH45" i="1" s="1"/>
  <c r="AD105" i="1"/>
  <c r="AB105" i="1"/>
  <c r="AD131" i="1"/>
  <c r="AB131" i="1"/>
  <c r="AF121" i="1"/>
  <c r="E19" i="2"/>
  <c r="D19" i="2"/>
  <c r="F19" i="2"/>
  <c r="AG121" i="1"/>
  <c r="AH121" i="1" s="1"/>
  <c r="AB71" i="1"/>
  <c r="AD71" i="1"/>
  <c r="AF78" i="1"/>
  <c r="AG78" i="1"/>
  <c r="AH78" i="1" s="1"/>
  <c r="J15" i="2"/>
  <c r="I15" i="2"/>
  <c r="H15" i="2"/>
  <c r="AF85" i="1"/>
  <c r="AG85" i="1"/>
  <c r="AH85" i="1" s="1"/>
  <c r="AD28" i="1"/>
  <c r="AB28" i="1"/>
  <c r="AG84" i="1"/>
  <c r="AH84" i="1" s="1"/>
  <c r="F5" i="3"/>
  <c r="AF84" i="1"/>
  <c r="AD32" i="1"/>
  <c r="AB32" i="1"/>
  <c r="J20" i="2"/>
  <c r="H20" i="2"/>
  <c r="I20" i="2"/>
  <c r="AD138" i="1"/>
  <c r="AB138" i="1"/>
  <c r="AD183" i="1"/>
  <c r="AB183" i="1"/>
  <c r="G4" i="3"/>
  <c r="AG6" i="1"/>
  <c r="AH6" i="1" s="1"/>
  <c r="AF6" i="1"/>
  <c r="K8" i="3"/>
  <c r="J8" i="3"/>
  <c r="I8" i="3"/>
  <c r="AD184" i="1"/>
  <c r="AB184" i="1"/>
  <c r="AF20" i="1"/>
  <c r="AG20" i="1"/>
  <c r="AH20" i="1" s="1"/>
  <c r="AD59" i="1"/>
  <c r="AB59" i="1"/>
  <c r="F3" i="3"/>
  <c r="E3" i="3"/>
  <c r="G3" i="3"/>
  <c r="AF22" i="1"/>
  <c r="AG22" i="1"/>
  <c r="AH22" i="1" s="1"/>
  <c r="K3" i="3"/>
  <c r="J3" i="3"/>
  <c r="F4" i="2"/>
  <c r="E4" i="2"/>
  <c r="D4" i="2"/>
  <c r="AF16" i="1"/>
  <c r="AG16" i="1"/>
  <c r="AH16" i="1" s="1"/>
  <c r="AG18" i="1"/>
  <c r="AH18" i="1" s="1"/>
  <c r="AF18" i="1"/>
  <c r="AB178" i="1"/>
  <c r="AD178" i="1"/>
  <c r="AD160" i="1"/>
  <c r="AB160" i="1"/>
  <c r="AG38" i="1"/>
  <c r="AH38" i="1" s="1"/>
  <c r="AF38" i="1"/>
  <c r="J6" i="3"/>
  <c r="K6" i="3"/>
  <c r="I6" i="3"/>
  <c r="AD140" i="1"/>
  <c r="AB140" i="1"/>
  <c r="F10" i="2"/>
  <c r="AG28" i="1"/>
  <c r="AH28" i="1" s="1"/>
  <c r="AF28" i="1"/>
  <c r="J16" i="2"/>
  <c r="I16" i="2"/>
  <c r="H16" i="2"/>
  <c r="AF81" i="1"/>
  <c r="AG81" i="1"/>
  <c r="AH81" i="1" s="1"/>
  <c r="AG72" i="1"/>
  <c r="AH72" i="1" s="1"/>
  <c r="AF72" i="1"/>
  <c r="D12" i="2"/>
  <c r="F12" i="2"/>
  <c r="E12" i="2"/>
  <c r="E15" i="2"/>
  <c r="F15" i="2"/>
  <c r="AG93" i="1"/>
  <c r="AH93" i="1" s="1"/>
  <c r="AF93" i="1"/>
  <c r="D15" i="2"/>
  <c r="AD123" i="1"/>
  <c r="AB123" i="1"/>
  <c r="AG69" i="1"/>
  <c r="AH69" i="1" s="1"/>
  <c r="AF69" i="1"/>
  <c r="AD139" i="1"/>
  <c r="AB139" i="1"/>
  <c r="I24" i="2"/>
  <c r="J24" i="2"/>
  <c r="H24" i="2"/>
  <c r="AB36" i="1"/>
  <c r="AD36" i="1"/>
  <c r="AB41" i="1"/>
  <c r="AD41" i="1"/>
  <c r="AB172" i="1"/>
  <c r="AD172" i="1"/>
  <c r="AG124" i="1"/>
  <c r="AH124" i="1" s="1"/>
  <c r="AF124" i="1"/>
  <c r="AG103" i="1"/>
  <c r="AH103" i="1" s="1"/>
  <c r="AF103" i="1"/>
  <c r="AG80" i="1"/>
  <c r="AH80" i="1" s="1"/>
  <c r="AF80" i="1"/>
  <c r="AG56" i="1"/>
  <c r="AH56" i="1" s="1"/>
  <c r="AF56" i="1"/>
  <c r="AF105" i="1"/>
  <c r="AG105" i="1"/>
  <c r="AH105" i="1" s="1"/>
  <c r="AF40" i="1"/>
  <c r="AG40" i="1"/>
  <c r="AH40" i="1" s="1"/>
  <c r="AB69" i="1"/>
  <c r="AD69" i="1"/>
  <c r="AD168" i="1"/>
  <c r="AB168" i="1"/>
  <c r="AG11" i="1"/>
  <c r="AH11" i="1" s="1"/>
  <c r="AF11" i="1"/>
  <c r="J14" i="2"/>
  <c r="I14" i="2"/>
  <c r="H14" i="2"/>
  <c r="AB88" i="1"/>
  <c r="AD88" i="1"/>
  <c r="AD62" i="1"/>
  <c r="AB62" i="1"/>
  <c r="E5" i="3"/>
  <c r="AD106" i="1"/>
  <c r="AB106" i="1"/>
  <c r="I18" i="2"/>
  <c r="J18" i="2"/>
  <c r="H18" i="2"/>
  <c r="AB16" i="1"/>
  <c r="AD16" i="1"/>
  <c r="AD108" i="1"/>
  <c r="AB108" i="1"/>
  <c r="E13" i="2"/>
  <c r="D13" i="2"/>
  <c r="AG79" i="1"/>
  <c r="AH79" i="1" s="1"/>
  <c r="AF79" i="1"/>
  <c r="F13" i="2"/>
  <c r="AG82" i="1"/>
  <c r="AH82" i="1" s="1"/>
  <c r="AF82" i="1"/>
  <c r="E10" i="2"/>
  <c r="AG148" i="1"/>
  <c r="AH148" i="1" s="1"/>
  <c r="AF148" i="1"/>
  <c r="AG179" i="1"/>
  <c r="AH179" i="1" s="1"/>
  <c r="AF179" i="1"/>
  <c r="AG108" i="1"/>
  <c r="AH108" i="1" s="1"/>
  <c r="AF108" i="1"/>
  <c r="AF62" i="1"/>
  <c r="AG62" i="1"/>
  <c r="AH62" i="1" s="1"/>
  <c r="I27" i="2"/>
  <c r="J27" i="2"/>
  <c r="H27" i="2"/>
  <c r="AG139" i="1"/>
  <c r="AH139" i="1" s="1"/>
  <c r="AF139" i="1"/>
  <c r="AB72" i="1"/>
  <c r="AD72" i="1"/>
  <c r="AB78" i="1"/>
  <c r="AD78" i="1"/>
  <c r="J4" i="2"/>
  <c r="D17" i="2"/>
  <c r="AG89" i="1"/>
  <c r="AH89" i="1" s="1"/>
  <c r="AF89" i="1"/>
  <c r="AB150" i="1"/>
  <c r="AD150" i="1"/>
  <c r="H21" i="2"/>
  <c r="J21" i="2"/>
  <c r="I21" i="2"/>
  <c r="AG52" i="1"/>
  <c r="AH52" i="1" s="1"/>
  <c r="AF52" i="1"/>
  <c r="AF29" i="1"/>
  <c r="AG29" i="1"/>
  <c r="AH29" i="1" s="1"/>
  <c r="I23" i="2"/>
  <c r="J23" i="2"/>
  <c r="H23" i="2"/>
  <c r="AG77" i="1"/>
  <c r="AH77" i="1" s="1"/>
  <c r="AF77" i="1"/>
  <c r="AF5" i="1"/>
  <c r="AG5" i="1"/>
  <c r="AH5" i="1" s="1"/>
  <c r="K2" i="3"/>
  <c r="H10" i="2"/>
  <c r="J10" i="2"/>
  <c r="I10" i="2"/>
  <c r="AF32" i="1"/>
  <c r="AG32" i="1"/>
  <c r="AH32" i="1" s="1"/>
  <c r="I13" i="2"/>
  <c r="J13" i="2"/>
  <c r="H13" i="2"/>
  <c r="AG98" i="1"/>
  <c r="AH98" i="1" s="1"/>
  <c r="AF98" i="1"/>
  <c r="AB4" i="1"/>
  <c r="AD4" i="1"/>
  <c r="AB74" i="1"/>
  <c r="AD74" i="1"/>
  <c r="AD159" i="1"/>
  <c r="AB159" i="1"/>
  <c r="AG63" i="1"/>
  <c r="AH63" i="1" s="1"/>
  <c r="AF63" i="1"/>
  <c r="F5" i="2"/>
  <c r="E5" i="2"/>
  <c r="D5" i="2"/>
  <c r="AG23" i="1"/>
  <c r="AH23" i="1" s="1"/>
  <c r="AF23" i="1"/>
  <c r="AB56" i="1"/>
  <c r="AD56" i="1"/>
  <c r="I2" i="2"/>
  <c r="H2" i="2"/>
  <c r="J2" i="2"/>
  <c r="AB90" i="1"/>
  <c r="AD90" i="1"/>
  <c r="I22" i="2"/>
  <c r="J22" i="2"/>
  <c r="H22" i="2"/>
  <c r="AF13" i="1"/>
  <c r="AG13" i="1"/>
  <c r="AH13" i="1" s="1"/>
  <c r="AD136" i="1"/>
  <c r="AB136" i="1"/>
  <c r="AD145" i="1"/>
  <c r="AB145" i="1"/>
  <c r="AG8" i="1"/>
  <c r="AH8" i="1" s="1"/>
  <c r="AF8" i="1"/>
  <c r="AG74" i="1"/>
  <c r="AH74" i="1" s="1"/>
  <c r="AF74" i="1"/>
  <c r="AB93" i="1"/>
  <c r="AD93" i="1"/>
  <c r="AG21" i="1"/>
  <c r="AH21" i="1" s="1"/>
  <c r="AF21" i="1"/>
  <c r="AB23" i="1"/>
  <c r="AD23" i="1"/>
  <c r="E6" i="2"/>
  <c r="AD34" i="1"/>
  <c r="AB34" i="1"/>
  <c r="J7" i="2"/>
  <c r="I7" i="2"/>
  <c r="H7" i="2"/>
  <c r="F20" i="2"/>
  <c r="AF39" i="1"/>
  <c r="AG39" i="1"/>
  <c r="AH39" i="1" s="1"/>
  <c r="AD134" i="1"/>
  <c r="AB134" i="1"/>
  <c r="AF111" i="1"/>
  <c r="AG111" i="1"/>
  <c r="AH111" i="1" s="1"/>
  <c r="AD57" i="1"/>
  <c r="AB57" i="1"/>
  <c r="AG54" i="1"/>
  <c r="AH54" i="1" s="1"/>
  <c r="AF54" i="1"/>
  <c r="AG168" i="1"/>
  <c r="AH168" i="1" s="1"/>
  <c r="AF168" i="1"/>
  <c r="I28" i="2"/>
  <c r="J28" i="2"/>
  <c r="H28" i="2"/>
  <c r="AG138" i="1"/>
  <c r="AH138" i="1" s="1"/>
  <c r="AF138" i="1"/>
  <c r="AD5" i="1"/>
  <c r="AB5" i="1"/>
  <c r="F21" i="2"/>
  <c r="AG19" i="1"/>
  <c r="AH19" i="1" s="1"/>
  <c r="AF19" i="1"/>
  <c r="AD77" i="1"/>
  <c r="AB77" i="1"/>
  <c r="AG136" i="1"/>
  <c r="AH136" i="1" s="1"/>
  <c r="AF136" i="1"/>
  <c r="AD188" i="1"/>
  <c r="AB188" i="1"/>
  <c r="E21" i="2"/>
  <c r="I8" i="2"/>
  <c r="J8" i="2"/>
  <c r="H8" i="2"/>
  <c r="F6" i="3"/>
  <c r="E6" i="3"/>
  <c r="E18" i="2"/>
  <c r="D18" i="2"/>
  <c r="G6" i="3"/>
  <c r="AG114" i="1"/>
  <c r="AH114" i="1" s="1"/>
  <c r="F18" i="2"/>
  <c r="AF114" i="1"/>
  <c r="AD95" i="1"/>
  <c r="AB95" i="1"/>
  <c r="I5" i="2"/>
  <c r="H5" i="2"/>
  <c r="J5" i="2"/>
  <c r="AD180" i="1"/>
  <c r="AB180" i="1"/>
  <c r="D27" i="2"/>
  <c r="E27" i="2"/>
  <c r="F27" i="2"/>
  <c r="AG177" i="1"/>
  <c r="AH177" i="1" s="1"/>
  <c r="AF177" i="1"/>
  <c r="AF180" i="1"/>
  <c r="AG180" i="1"/>
  <c r="AH180" i="1" s="1"/>
  <c r="AD151" i="1"/>
  <c r="AB151" i="1"/>
  <c r="AG171" i="1"/>
  <c r="AH171" i="1" s="1"/>
  <c r="G26" i="2" s="1"/>
  <c r="AF171" i="1"/>
  <c r="AF178" i="1"/>
  <c r="AG178" i="1"/>
  <c r="AH178" i="1" s="1"/>
  <c r="AD38" i="1"/>
  <c r="AB38" i="1"/>
  <c r="G8" i="3"/>
  <c r="E16" i="2"/>
  <c r="AF100" i="1"/>
  <c r="AG100" i="1"/>
  <c r="AH100" i="1" s="1"/>
  <c r="D16" i="2"/>
  <c r="F16" i="2"/>
  <c r="AB43" i="1"/>
  <c r="AD43" i="1"/>
  <c r="AG106" i="1"/>
  <c r="AH106" i="1" s="1"/>
  <c r="AF106" i="1"/>
  <c r="AD98" i="1"/>
  <c r="AB98" i="1"/>
  <c r="F8" i="3"/>
  <c r="D10" i="2"/>
  <c r="AD152" i="1"/>
  <c r="AB152" i="1"/>
  <c r="I9" i="2"/>
  <c r="H9" i="2"/>
  <c r="J9" i="2"/>
  <c r="AD102" i="1"/>
  <c r="AB102" i="1"/>
  <c r="F24" i="2"/>
  <c r="E24" i="2"/>
  <c r="D24" i="2"/>
  <c r="AF156" i="1"/>
  <c r="AG156" i="1"/>
  <c r="AH156" i="1" s="1"/>
  <c r="G7" i="3"/>
  <c r="AB135" i="1"/>
  <c r="AD135" i="1"/>
  <c r="AF60" i="1"/>
  <c r="AG60" i="1"/>
  <c r="AH60" i="1" s="1"/>
  <c r="AD122" i="1"/>
  <c r="AB122" i="1"/>
  <c r="AG49" i="1"/>
  <c r="AH49" i="1" s="1"/>
  <c r="AF49" i="1"/>
  <c r="E17" i="2"/>
  <c r="AG137" i="1"/>
  <c r="AH137" i="1" s="1"/>
  <c r="AF137" i="1"/>
  <c r="AD179" i="1"/>
  <c r="AB179" i="1"/>
  <c r="AD161" i="1"/>
  <c r="AB161" i="1"/>
  <c r="AG182" i="1"/>
  <c r="AH182" i="1" s="1"/>
  <c r="AF182" i="1"/>
  <c r="AD142" i="1"/>
  <c r="AB142" i="1"/>
  <c r="AF55" i="1"/>
  <c r="AG55" i="1"/>
  <c r="AH55" i="1" s="1"/>
  <c r="AD181" i="1"/>
  <c r="AB181" i="1"/>
  <c r="AB58" i="1"/>
  <c r="AD58" i="1"/>
  <c r="AG86" i="1"/>
  <c r="AH86" i="1" s="1"/>
  <c r="F14" i="2"/>
  <c r="E14" i="2"/>
  <c r="D14" i="2"/>
  <c r="AF86" i="1"/>
  <c r="AG35" i="1"/>
  <c r="AH35" i="1" s="1"/>
  <c r="AF35" i="1"/>
  <c r="F17" i="2"/>
  <c r="AG158" i="1"/>
  <c r="AH158" i="1" s="1"/>
  <c r="AF158" i="1"/>
  <c r="AB97" i="1"/>
  <c r="AD97" i="1"/>
  <c r="AB157" i="1"/>
  <c r="AD157" i="1"/>
  <c r="AF181" i="1"/>
  <c r="AG181" i="1"/>
  <c r="AH181" i="1" s="1"/>
  <c r="AG153" i="1"/>
  <c r="AH153" i="1" s="1"/>
  <c r="AF153" i="1"/>
  <c r="AG34" i="1"/>
  <c r="AH34" i="1" s="1"/>
  <c r="AF34" i="1"/>
  <c r="F7" i="2"/>
  <c r="D7" i="2"/>
  <c r="AG37" i="1"/>
  <c r="AH37" i="1" s="1"/>
  <c r="AF37" i="1"/>
  <c r="E7" i="2"/>
  <c r="D20" i="2"/>
  <c r="AB137" i="1"/>
  <c r="AD137" i="1"/>
  <c r="AG14" i="1"/>
  <c r="AH14" i="1" s="1"/>
  <c r="AF14" i="1"/>
  <c r="AF161" i="1"/>
  <c r="AG161" i="1"/>
  <c r="AH161" i="1" s="1"/>
  <c r="E3" i="2"/>
  <c r="H4" i="2" l="1"/>
  <c r="G20" i="2"/>
  <c r="J2" i="3"/>
  <c r="I4" i="2"/>
  <c r="G13" i="2"/>
  <c r="G3" i="2"/>
  <c r="G6" i="2"/>
  <c r="B9" i="4"/>
  <c r="G12" i="2"/>
  <c r="H5" i="3"/>
  <c r="G8" i="2"/>
  <c r="G24" i="2"/>
  <c r="G23" i="2"/>
  <c r="G27" i="2"/>
  <c r="I2" i="3"/>
  <c r="H4" i="3"/>
  <c r="G17" i="2"/>
  <c r="B11" i="4"/>
  <c r="G16" i="2"/>
  <c r="G5" i="2"/>
  <c r="B8" i="4"/>
  <c r="G2" i="2"/>
  <c r="H2" i="3"/>
  <c r="G7" i="2"/>
  <c r="G14" i="2"/>
  <c r="G18" i="2"/>
  <c r="H6" i="3"/>
  <c r="G22" i="2"/>
  <c r="H3" i="3"/>
  <c r="G19" i="2"/>
  <c r="G9" i="2"/>
  <c r="G11" i="2"/>
  <c r="G15" i="2"/>
  <c r="H7" i="3"/>
  <c r="G21" i="2"/>
  <c r="G4" i="2"/>
  <c r="G25" i="2"/>
  <c r="H8" i="3"/>
  <c r="G10" i="2"/>
</calcChain>
</file>

<file path=xl/sharedStrings.xml><?xml version="1.0" encoding="utf-8"?>
<sst xmlns="http://schemas.openxmlformats.org/spreadsheetml/2006/main" count="320" uniqueCount="112">
  <si>
    <t>Date</t>
  </si>
  <si>
    <t>Bootcamp Day?</t>
  </si>
  <si>
    <t>Bootcamp Module</t>
  </si>
  <si>
    <t>Today's Contribution</t>
  </si>
  <si>
    <t>Cognitive Energy (1-5, optional)</t>
  </si>
  <si>
    <t>Core Task (1)</t>
  </si>
  <si>
    <t>Non-negotiable #1</t>
  </si>
  <si>
    <t>Done?</t>
  </si>
  <si>
    <t>Non-negotiable #2</t>
  </si>
  <si>
    <t>Non-negotiable #3</t>
  </si>
  <si>
    <t>Sleep ≥7h</t>
  </si>
  <si>
    <t>No Snooze</t>
  </si>
  <si>
    <t>Water</t>
  </si>
  <si>
    <t>Gratitude</t>
  </si>
  <si>
    <t>Meditation 10m</t>
  </si>
  <si>
    <t>Exercise ≥30m</t>
  </si>
  <si>
    <t>Plan Day</t>
  </si>
  <si>
    <t>Deep Work ≥60m</t>
  </si>
  <si>
    <t>One-Tab Rule</t>
  </si>
  <si>
    <t>Evening Writing 10m</t>
  </si>
  <si>
    <t>Reading 10m</t>
  </si>
  <si>
    <t>Tidy 10m</t>
  </si>
  <si>
    <t>System Stronger?</t>
  </si>
  <si>
    <t>Logged?</t>
  </si>
  <si>
    <t>Habits Completed</t>
  </si>
  <si>
    <t>Habit Completion %</t>
  </si>
  <si>
    <t>Non-neg Done</t>
  </si>
  <si>
    <t>Total Done</t>
  </si>
  <si>
    <t>Status</t>
  </si>
  <si>
    <t>Stable Streak</t>
  </si>
  <si>
    <t>Grey Streak</t>
  </si>
  <si>
    <t>Alert</t>
  </si>
  <si>
    <t>Stability Score (0-100)</t>
  </si>
  <si>
    <t>Incomplete Habits</t>
  </si>
  <si>
    <t>Notes</t>
  </si>
  <si>
    <t>Incomplete Non-negotiables</t>
  </si>
  <si>
    <t>Incomplete Summary</t>
  </si>
  <si>
    <t>Yes</t>
  </si>
  <si>
    <t>No</t>
  </si>
  <si>
    <t>Week Start</t>
  </si>
  <si>
    <t>Week End</t>
  </si>
  <si>
    <t>Logged Days</t>
  </si>
  <si>
    <t>Green Days</t>
  </si>
  <si>
    <t>Yellow Days</t>
  </si>
  <si>
    <t>Grey Days</t>
  </si>
  <si>
    <t>Alerts</t>
  </si>
  <si>
    <t>Avg Habit Completion %</t>
  </si>
  <si>
    <t>Avg Stability Score</t>
  </si>
  <si>
    <t>Avg Cognitive Energy</t>
  </si>
  <si>
    <t>Month</t>
  </si>
  <si>
    <t>Start</t>
  </si>
  <si>
    <t>End</t>
  </si>
  <si>
    <t>Top Module (count)</t>
  </si>
  <si>
    <t>2026-02</t>
  </si>
  <si>
    <t/>
  </si>
  <si>
    <t>2026-03</t>
  </si>
  <si>
    <t>2026-04</t>
  </si>
  <si>
    <t>2026-05</t>
  </si>
  <si>
    <t>2026-06</t>
  </si>
  <si>
    <t>2026-07</t>
  </si>
  <si>
    <t>2026-08</t>
  </si>
  <si>
    <t>Personal System Dashboard</t>
  </si>
  <si>
    <t>Bootcamp period</t>
  </si>
  <si>
    <t>2026-02-09 to 2026-08-14</t>
  </si>
  <si>
    <t>Module Distribution</t>
  </si>
  <si>
    <t>Logged days</t>
  </si>
  <si>
    <t>Module</t>
  </si>
  <si>
    <t>Days</t>
  </si>
  <si>
    <t>Green days</t>
  </si>
  <si>
    <t>Foundations</t>
  </si>
  <si>
    <t>Yellow days</t>
  </si>
  <si>
    <t>Data</t>
  </si>
  <si>
    <t>Grey days</t>
  </si>
  <si>
    <t>Machine Learning</t>
  </si>
  <si>
    <t>Alerts (Grey ≥2)</t>
  </si>
  <si>
    <t>Deep Learning</t>
  </si>
  <si>
    <t>Avg habit completion</t>
  </si>
  <si>
    <t>Projects</t>
  </si>
  <si>
    <t>Avg stability score</t>
  </si>
  <si>
    <t>Engineering &amp; MLOps</t>
  </si>
  <si>
    <t>Max stable streak</t>
  </si>
  <si>
    <t>Review &amp; Consolidation</t>
  </si>
  <si>
    <t>Top module</t>
  </si>
  <si>
    <t>—</t>
  </si>
  <si>
    <t>YesNoMark</t>
  </si>
  <si>
    <t>✅</t>
  </si>
  <si>
    <t>❌</t>
  </si>
  <si>
    <t>YesNoText</t>
  </si>
  <si>
    <t>EnergyList</t>
  </si>
  <si>
    <t>1</t>
  </si>
  <si>
    <t>2</t>
  </si>
  <si>
    <t>3</t>
  </si>
  <si>
    <t>4</t>
  </si>
  <si>
    <t>5</t>
  </si>
  <si>
    <t>ModuleList</t>
  </si>
  <si>
    <t>ContributionList</t>
  </si>
  <si>
    <t>Learn</t>
  </si>
  <si>
    <t>Implement</t>
  </si>
  <si>
    <t>Experiment</t>
  </si>
  <si>
    <t>Debug</t>
  </si>
  <si>
    <t>Refactor</t>
  </si>
  <si>
    <t>Review</t>
  </si>
  <si>
    <t>Rest</t>
  </si>
  <si>
    <t>Bootcamp start</t>
  </si>
  <si>
    <t>Bootcamp end</t>
  </si>
  <si>
    <t>Green threshold (habits completed)</t>
  </si>
  <si>
    <t>Yellow threshold (habits completed)</t>
  </si>
  <si>
    <t>Habit count</t>
  </si>
  <si>
    <t>Score weights</t>
  </si>
  <si>
    <t>Habits weight (0-100)</t>
  </si>
  <si>
    <t>System stronger bonus</t>
  </si>
  <si>
    <t>Energy multiplier (per point)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</si>
</sst>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%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6"/>
      <color rgb="FF1F4E79"/>
      <name val="Calibri"/>
    </font>
    <font>
      <b/>
      <sz val="11"/>
      <color rgb="FF1F4E79"/>
      <name val="Calibri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5" fillId="0" borderId="0"/>
  </cellStyleXfs>
  <cellXfs count="15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164" fontId="0" fillId="0" borderId="1" xfId="1" applyNumberFormat="1" applyFont="1" applyBorder="1" applyAlignment="1">
      <alignment horizontal="center" vertical="center" wrapText="1"/>
    </xf>
    <xf numFmtId="0" fontId="0" fillId="0" borderId="1" xfId="1" applyFont="1" applyBorder="1" applyAlignment="1">
      <alignment horizontal="center" vertical="center" wrapText="1"/>
    </xf>
    <xf numFmtId="0" fontId="0" fillId="0" borderId="1" xfId="1" applyFont="1" applyBorder="1" applyAlignment="1">
      <alignment horizontal="left" vertical="center" wrapText="1"/>
    </xf>
    <xf numFmtId="1" fontId="0" fillId="0" borderId="1" xfId="1" applyNumberFormat="1" applyFont="1" applyBorder="1" applyAlignment="1">
      <alignment horizontal="center" vertical="center" wrapText="1"/>
    </xf>
    <xf numFmtId="165" fontId="0" fillId="0" borderId="1" xfId="1" applyNumberFormat="1" applyFont="1" applyBorder="1" applyAlignment="1">
      <alignment horizontal="center" vertical="center" wrapText="1"/>
    </xf>
    <xf numFmtId="166" fontId="0" fillId="0" borderId="1" xfId="1" applyNumberFormat="1" applyFont="1" applyBorder="1" applyAlignment="1">
      <alignment horizontal="center" vertical="center" wrapText="1"/>
    </xf>
    <xf numFmtId="0" fontId="1" fillId="0" borderId="1" xfId="1" applyFont="1" applyBorder="1" applyAlignment="1">
      <alignment horizontal="left" vertical="center" wrapText="1"/>
    </xf>
    <xf numFmtId="0" fontId="4" fillId="0" borderId="0" xfId="1" applyFont="1"/>
    <xf numFmtId="0" fontId="1" fillId="0" borderId="0" xfId="1" applyFont="1"/>
    <xf numFmtId="164" fontId="0" fillId="0" borderId="0" xfId="1" applyNumberFormat="1" applyFont="1"/>
    <xf numFmtId="49" fontId="0" fillId="0" borderId="1" xfId="1" applyNumberFormat="1" applyFont="1" applyBorder="1" applyAlignment="1">
      <alignment horizontal="center" vertical="center" wrapText="1"/>
    </xf>
    <xf numFmtId="0" fontId="3" fillId="0" borderId="0" xfId="1" applyFont="1"/>
    <xf numFmtId="0" fontId="0" fillId="0" borderId="0" xfId="0"/>
  </cellXfs>
  <cellStyles count="2">
    <cellStyle name="Normal" xfId="1" xr:uid="{00000000-0005-0000-0000-000000000000}"/>
    <cellStyle name="Standard" xfId="0" builtinId="0"/>
  </cellStyles>
  <dxfs count="4">
    <dxf>
      <fill>
        <patternFill>
          <bgColor rgb="FFF8CBAD"/>
        </patternFill>
      </fill>
    </dxf>
    <dxf>
      <fill>
        <patternFill>
          <bgColor rgb="FFE7E6E6"/>
        </patternFill>
      </fill>
    </dxf>
    <dxf>
      <fill>
        <patternFill>
          <bgColor rgb="FFFFF2CC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title>
      <c:tx>
        <c:rich>
          <a:bodyPr/>
          <a:lstStyle/>
          <a:p>
            <a:r>
              <a:rPr lang="de-DE"/>
              <a:t>Stability Score Over Time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Tracker'!$AI$1</c:f>
              <c:strCache>
                <c:ptCount val="1"/>
                <c:pt idx="0">
                  <c:v>Stability Score (0-100)</c:v>
                </c:pt>
              </c:strCache>
            </c:strRef>
          </c:tx>
          <c:spPr>
            <a:ln/>
          </c:spPr>
          <c:marker>
            <c:symbol val="none"/>
          </c:marker>
          <c:cat>
            <c:numRef>
              <c:f>'Daily Tracker'!$A$2:$A$188</c:f>
              <c:numCache>
                <c:formatCode>yyyy\-mm\-dd</c:formatCode>
                <c:ptCount val="187"/>
                <c:pt idx="2">
                  <c:v>46064</c:v>
                </c:pt>
                <c:pt idx="3">
                  <c:v>46065</c:v>
                </c:pt>
                <c:pt idx="4">
                  <c:v>46066</c:v>
                </c:pt>
                <c:pt idx="5">
                  <c:v>46067</c:v>
                </c:pt>
                <c:pt idx="6">
                  <c:v>46068</c:v>
                </c:pt>
                <c:pt idx="7">
                  <c:v>46069</c:v>
                </c:pt>
                <c:pt idx="8">
                  <c:v>46070</c:v>
                </c:pt>
                <c:pt idx="9">
                  <c:v>46071</c:v>
                </c:pt>
                <c:pt idx="10">
                  <c:v>46072</c:v>
                </c:pt>
                <c:pt idx="11">
                  <c:v>46073</c:v>
                </c:pt>
                <c:pt idx="12">
                  <c:v>46074</c:v>
                </c:pt>
                <c:pt idx="13">
                  <c:v>46075</c:v>
                </c:pt>
                <c:pt idx="14">
                  <c:v>46076</c:v>
                </c:pt>
                <c:pt idx="15">
                  <c:v>46077</c:v>
                </c:pt>
                <c:pt idx="16">
                  <c:v>46078</c:v>
                </c:pt>
                <c:pt idx="17">
                  <c:v>46079</c:v>
                </c:pt>
                <c:pt idx="18">
                  <c:v>46080</c:v>
                </c:pt>
                <c:pt idx="19">
                  <c:v>46081</c:v>
                </c:pt>
                <c:pt idx="20">
                  <c:v>46082</c:v>
                </c:pt>
                <c:pt idx="21">
                  <c:v>46083</c:v>
                </c:pt>
                <c:pt idx="22">
                  <c:v>46084</c:v>
                </c:pt>
                <c:pt idx="23">
                  <c:v>46085</c:v>
                </c:pt>
                <c:pt idx="24">
                  <c:v>46086</c:v>
                </c:pt>
                <c:pt idx="25">
                  <c:v>46087</c:v>
                </c:pt>
                <c:pt idx="26">
                  <c:v>46088</c:v>
                </c:pt>
                <c:pt idx="27">
                  <c:v>46089</c:v>
                </c:pt>
                <c:pt idx="28">
                  <c:v>46090</c:v>
                </c:pt>
                <c:pt idx="29">
                  <c:v>46091</c:v>
                </c:pt>
                <c:pt idx="30">
                  <c:v>46092</c:v>
                </c:pt>
                <c:pt idx="31">
                  <c:v>46093</c:v>
                </c:pt>
                <c:pt idx="32">
                  <c:v>46094</c:v>
                </c:pt>
                <c:pt idx="33">
                  <c:v>46095</c:v>
                </c:pt>
                <c:pt idx="34">
                  <c:v>46096</c:v>
                </c:pt>
                <c:pt idx="35">
                  <c:v>46097</c:v>
                </c:pt>
                <c:pt idx="36">
                  <c:v>46098</c:v>
                </c:pt>
                <c:pt idx="37">
                  <c:v>46099</c:v>
                </c:pt>
                <c:pt idx="38">
                  <c:v>46100</c:v>
                </c:pt>
                <c:pt idx="39">
                  <c:v>46101</c:v>
                </c:pt>
                <c:pt idx="40">
                  <c:v>46102</c:v>
                </c:pt>
                <c:pt idx="41">
                  <c:v>46103</c:v>
                </c:pt>
                <c:pt idx="42">
                  <c:v>46104</c:v>
                </c:pt>
                <c:pt idx="43">
                  <c:v>46105</c:v>
                </c:pt>
                <c:pt idx="44">
                  <c:v>46106</c:v>
                </c:pt>
                <c:pt idx="45">
                  <c:v>46107</c:v>
                </c:pt>
                <c:pt idx="46">
                  <c:v>46108</c:v>
                </c:pt>
                <c:pt idx="47">
                  <c:v>46109</c:v>
                </c:pt>
                <c:pt idx="48">
                  <c:v>46110</c:v>
                </c:pt>
                <c:pt idx="49">
                  <c:v>46111</c:v>
                </c:pt>
                <c:pt idx="50">
                  <c:v>46112</c:v>
                </c:pt>
                <c:pt idx="51">
                  <c:v>46113</c:v>
                </c:pt>
                <c:pt idx="52">
                  <c:v>46114</c:v>
                </c:pt>
                <c:pt idx="53">
                  <c:v>46115</c:v>
                </c:pt>
                <c:pt idx="54">
                  <c:v>46116</c:v>
                </c:pt>
                <c:pt idx="55">
                  <c:v>46117</c:v>
                </c:pt>
                <c:pt idx="56">
                  <c:v>46118</c:v>
                </c:pt>
                <c:pt idx="57">
                  <c:v>46119</c:v>
                </c:pt>
                <c:pt idx="58">
                  <c:v>46120</c:v>
                </c:pt>
                <c:pt idx="59">
                  <c:v>46121</c:v>
                </c:pt>
                <c:pt idx="60">
                  <c:v>46122</c:v>
                </c:pt>
                <c:pt idx="61">
                  <c:v>46123</c:v>
                </c:pt>
                <c:pt idx="62">
                  <c:v>46124</c:v>
                </c:pt>
                <c:pt idx="63">
                  <c:v>46125</c:v>
                </c:pt>
                <c:pt idx="64">
                  <c:v>46126</c:v>
                </c:pt>
                <c:pt idx="65">
                  <c:v>46127</c:v>
                </c:pt>
                <c:pt idx="66">
                  <c:v>46128</c:v>
                </c:pt>
                <c:pt idx="67">
                  <c:v>46129</c:v>
                </c:pt>
                <c:pt idx="68">
                  <c:v>46130</c:v>
                </c:pt>
                <c:pt idx="69">
                  <c:v>46131</c:v>
                </c:pt>
                <c:pt idx="70">
                  <c:v>46132</c:v>
                </c:pt>
                <c:pt idx="71">
                  <c:v>46133</c:v>
                </c:pt>
                <c:pt idx="72">
                  <c:v>46134</c:v>
                </c:pt>
                <c:pt idx="73">
                  <c:v>46135</c:v>
                </c:pt>
                <c:pt idx="74">
                  <c:v>46136</c:v>
                </c:pt>
                <c:pt idx="75">
                  <c:v>46137</c:v>
                </c:pt>
                <c:pt idx="76">
                  <c:v>46138</c:v>
                </c:pt>
                <c:pt idx="77">
                  <c:v>46139</c:v>
                </c:pt>
                <c:pt idx="78">
                  <c:v>46140</c:v>
                </c:pt>
                <c:pt idx="79">
                  <c:v>46141</c:v>
                </c:pt>
                <c:pt idx="80">
                  <c:v>46142</c:v>
                </c:pt>
                <c:pt idx="81">
                  <c:v>46143</c:v>
                </c:pt>
                <c:pt idx="82">
                  <c:v>46144</c:v>
                </c:pt>
                <c:pt idx="83">
                  <c:v>46145</c:v>
                </c:pt>
                <c:pt idx="84">
                  <c:v>46146</c:v>
                </c:pt>
                <c:pt idx="85">
                  <c:v>46147</c:v>
                </c:pt>
                <c:pt idx="86">
                  <c:v>46148</c:v>
                </c:pt>
                <c:pt idx="87">
                  <c:v>46149</c:v>
                </c:pt>
                <c:pt idx="88">
                  <c:v>46150</c:v>
                </c:pt>
                <c:pt idx="89">
                  <c:v>46151</c:v>
                </c:pt>
                <c:pt idx="90">
                  <c:v>46152</c:v>
                </c:pt>
                <c:pt idx="91">
                  <c:v>46153</c:v>
                </c:pt>
                <c:pt idx="92">
                  <c:v>46154</c:v>
                </c:pt>
                <c:pt idx="93">
                  <c:v>46155</c:v>
                </c:pt>
                <c:pt idx="94">
                  <c:v>46156</c:v>
                </c:pt>
                <c:pt idx="95">
                  <c:v>46157</c:v>
                </c:pt>
                <c:pt idx="96">
                  <c:v>46158</c:v>
                </c:pt>
                <c:pt idx="97">
                  <c:v>46159</c:v>
                </c:pt>
                <c:pt idx="98">
                  <c:v>46160</c:v>
                </c:pt>
                <c:pt idx="99">
                  <c:v>46161</c:v>
                </c:pt>
                <c:pt idx="100">
                  <c:v>46162</c:v>
                </c:pt>
                <c:pt idx="101">
                  <c:v>46163</c:v>
                </c:pt>
                <c:pt idx="102">
                  <c:v>46164</c:v>
                </c:pt>
                <c:pt idx="103">
                  <c:v>46165</c:v>
                </c:pt>
                <c:pt idx="104">
                  <c:v>46166</c:v>
                </c:pt>
                <c:pt idx="105">
                  <c:v>46167</c:v>
                </c:pt>
                <c:pt idx="106">
                  <c:v>46168</c:v>
                </c:pt>
                <c:pt idx="107">
                  <c:v>46169</c:v>
                </c:pt>
                <c:pt idx="108">
                  <c:v>46170</c:v>
                </c:pt>
                <c:pt idx="109">
                  <c:v>46171</c:v>
                </c:pt>
                <c:pt idx="110">
                  <c:v>46172</c:v>
                </c:pt>
                <c:pt idx="111">
                  <c:v>46173</c:v>
                </c:pt>
                <c:pt idx="112">
                  <c:v>46174</c:v>
                </c:pt>
                <c:pt idx="113">
                  <c:v>46175</c:v>
                </c:pt>
                <c:pt idx="114">
                  <c:v>46176</c:v>
                </c:pt>
                <c:pt idx="115">
                  <c:v>46177</c:v>
                </c:pt>
                <c:pt idx="116">
                  <c:v>46178</c:v>
                </c:pt>
                <c:pt idx="117">
                  <c:v>46179</c:v>
                </c:pt>
                <c:pt idx="118">
                  <c:v>46180</c:v>
                </c:pt>
                <c:pt idx="119">
                  <c:v>46181</c:v>
                </c:pt>
                <c:pt idx="120">
                  <c:v>46182</c:v>
                </c:pt>
                <c:pt idx="121">
                  <c:v>46183</c:v>
                </c:pt>
                <c:pt idx="122">
                  <c:v>46184</c:v>
                </c:pt>
                <c:pt idx="123">
                  <c:v>46185</c:v>
                </c:pt>
                <c:pt idx="124">
                  <c:v>46186</c:v>
                </c:pt>
                <c:pt idx="125">
                  <c:v>46187</c:v>
                </c:pt>
                <c:pt idx="126">
                  <c:v>46188</c:v>
                </c:pt>
                <c:pt idx="127">
                  <c:v>46189</c:v>
                </c:pt>
                <c:pt idx="128">
                  <c:v>46190</c:v>
                </c:pt>
                <c:pt idx="129">
                  <c:v>46191</c:v>
                </c:pt>
                <c:pt idx="130">
                  <c:v>46192</c:v>
                </c:pt>
                <c:pt idx="131">
                  <c:v>46193</c:v>
                </c:pt>
                <c:pt idx="132">
                  <c:v>46194</c:v>
                </c:pt>
                <c:pt idx="133">
                  <c:v>46195</c:v>
                </c:pt>
                <c:pt idx="134">
                  <c:v>46196</c:v>
                </c:pt>
                <c:pt idx="135">
                  <c:v>46197</c:v>
                </c:pt>
                <c:pt idx="136">
                  <c:v>46198</c:v>
                </c:pt>
                <c:pt idx="137">
                  <c:v>46199</c:v>
                </c:pt>
                <c:pt idx="138">
                  <c:v>46200</c:v>
                </c:pt>
                <c:pt idx="139">
                  <c:v>46201</c:v>
                </c:pt>
                <c:pt idx="140">
                  <c:v>46202</c:v>
                </c:pt>
                <c:pt idx="141">
                  <c:v>46203</c:v>
                </c:pt>
                <c:pt idx="142">
                  <c:v>46204</c:v>
                </c:pt>
                <c:pt idx="143">
                  <c:v>46205</c:v>
                </c:pt>
                <c:pt idx="144">
                  <c:v>46206</c:v>
                </c:pt>
                <c:pt idx="145">
                  <c:v>46207</c:v>
                </c:pt>
                <c:pt idx="146">
                  <c:v>46208</c:v>
                </c:pt>
                <c:pt idx="147">
                  <c:v>46209</c:v>
                </c:pt>
                <c:pt idx="148">
                  <c:v>46210</c:v>
                </c:pt>
                <c:pt idx="149">
                  <c:v>46211</c:v>
                </c:pt>
                <c:pt idx="150">
                  <c:v>46212</c:v>
                </c:pt>
                <c:pt idx="151">
                  <c:v>46213</c:v>
                </c:pt>
                <c:pt idx="152">
                  <c:v>46214</c:v>
                </c:pt>
                <c:pt idx="153">
                  <c:v>46215</c:v>
                </c:pt>
                <c:pt idx="154">
                  <c:v>46216</c:v>
                </c:pt>
                <c:pt idx="155">
                  <c:v>46217</c:v>
                </c:pt>
                <c:pt idx="156">
                  <c:v>46218</c:v>
                </c:pt>
                <c:pt idx="157">
                  <c:v>46219</c:v>
                </c:pt>
                <c:pt idx="158">
                  <c:v>46220</c:v>
                </c:pt>
                <c:pt idx="159">
                  <c:v>46221</c:v>
                </c:pt>
                <c:pt idx="160">
                  <c:v>46222</c:v>
                </c:pt>
                <c:pt idx="161">
                  <c:v>46223</c:v>
                </c:pt>
                <c:pt idx="162">
                  <c:v>46224</c:v>
                </c:pt>
                <c:pt idx="163">
                  <c:v>46225</c:v>
                </c:pt>
                <c:pt idx="164">
                  <c:v>46226</c:v>
                </c:pt>
                <c:pt idx="165">
                  <c:v>46227</c:v>
                </c:pt>
                <c:pt idx="166">
                  <c:v>46228</c:v>
                </c:pt>
                <c:pt idx="167">
                  <c:v>46229</c:v>
                </c:pt>
                <c:pt idx="168">
                  <c:v>46230</c:v>
                </c:pt>
                <c:pt idx="169">
                  <c:v>46231</c:v>
                </c:pt>
                <c:pt idx="170">
                  <c:v>46232</c:v>
                </c:pt>
                <c:pt idx="171">
                  <c:v>46233</c:v>
                </c:pt>
                <c:pt idx="172">
                  <c:v>46234</c:v>
                </c:pt>
                <c:pt idx="173">
                  <c:v>46235</c:v>
                </c:pt>
                <c:pt idx="174">
                  <c:v>46236</c:v>
                </c:pt>
                <c:pt idx="175">
                  <c:v>46237</c:v>
                </c:pt>
                <c:pt idx="176">
                  <c:v>46238</c:v>
                </c:pt>
                <c:pt idx="177">
                  <c:v>46239</c:v>
                </c:pt>
                <c:pt idx="178">
                  <c:v>46240</c:v>
                </c:pt>
                <c:pt idx="179">
                  <c:v>46241</c:v>
                </c:pt>
                <c:pt idx="180">
                  <c:v>46242</c:v>
                </c:pt>
                <c:pt idx="181">
                  <c:v>46243</c:v>
                </c:pt>
                <c:pt idx="182">
                  <c:v>46244</c:v>
                </c:pt>
                <c:pt idx="183">
                  <c:v>46245</c:v>
                </c:pt>
                <c:pt idx="184">
                  <c:v>46246</c:v>
                </c:pt>
                <c:pt idx="185">
                  <c:v>46247</c:v>
                </c:pt>
                <c:pt idx="186">
                  <c:v>46248</c:v>
                </c:pt>
              </c:numCache>
            </c:numRef>
          </c:cat>
          <c:val>
            <c:numRef>
              <c:f>'Daily Tracker'!$AI$2:$AI$188</c:f>
              <c:numCache>
                <c:formatCode>0</c:formatCode>
                <c:ptCount val="187"/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25-4EE1-9896-346C3D3E9C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numFmt formatCode="yyyy\-mm\-dd" sourceLinked="0"/>
        <c:majorTickMark val="none"/>
        <c:minorTickMark val="none"/>
        <c:tickLblPos val="nextTo"/>
        <c:crossAx val="48672768"/>
        <c:crosses val="autoZero"/>
        <c:auto val="1"/>
        <c:lblOffset val="100"/>
        <c:baseTimeUnit val="days"/>
      </c:dateAx>
      <c:valAx>
        <c:axId val="48672768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r"/>
      <c:overlay val="1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title>
      <c:tx>
        <c:rich>
          <a:bodyPr/>
          <a:lstStyle/>
          <a:p>
            <a:r>
              <a:rPr lang="de-DE"/>
              <a:t>Module Distribution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Dashboard!$D$4</c:f>
              <c:strCache>
                <c:ptCount val="1"/>
                <c:pt idx="0">
                  <c:v>Days</c:v>
                </c:pt>
              </c:strCache>
            </c:strRef>
          </c:tx>
          <c:spPr>
            <a:ln/>
          </c:spPr>
          <c:cat>
            <c:strRef>
              <c:f>Dashboard!$C$5:$C$11</c:f>
              <c:strCache>
                <c:ptCount val="7"/>
                <c:pt idx="0">
                  <c:v>Foundations</c:v>
                </c:pt>
                <c:pt idx="1">
                  <c:v>Data</c:v>
                </c:pt>
                <c:pt idx="2">
                  <c:v>Machine Learning</c:v>
                </c:pt>
                <c:pt idx="3">
                  <c:v>Deep Learning</c:v>
                </c:pt>
                <c:pt idx="4">
                  <c:v>Projects</c:v>
                </c:pt>
                <c:pt idx="5">
                  <c:v>Engineering &amp; MLOps</c:v>
                </c:pt>
                <c:pt idx="6">
                  <c:v>Review &amp; Consolidation</c:v>
                </c:pt>
              </c:strCache>
            </c:strRef>
          </c:cat>
          <c:val>
            <c:numRef>
              <c:f>Dashboard!$D$5:$D$11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85-4E67-8028-4C6EC61042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title>
      <c:tx>
        <c:rich>
          <a:bodyPr/>
          <a:lstStyle/>
          <a:p>
            <a:r>
              <a:rPr lang="de-DE"/>
              <a:t>Habit Completion % Over Time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Tracker'!$AB$1</c:f>
              <c:strCache>
                <c:ptCount val="1"/>
                <c:pt idx="0">
                  <c:v>Habit Completion %</c:v>
                </c:pt>
              </c:strCache>
            </c:strRef>
          </c:tx>
          <c:spPr>
            <a:ln/>
          </c:spPr>
          <c:marker>
            <c:symbol val="none"/>
          </c:marker>
          <c:cat>
            <c:numRef>
              <c:f>'Daily Tracker'!$A$2:$A$188</c:f>
              <c:numCache>
                <c:formatCode>yyyy\-mm\-dd</c:formatCode>
                <c:ptCount val="187"/>
                <c:pt idx="2">
                  <c:v>46064</c:v>
                </c:pt>
                <c:pt idx="3">
                  <c:v>46065</c:v>
                </c:pt>
                <c:pt idx="4">
                  <c:v>46066</c:v>
                </c:pt>
                <c:pt idx="5">
                  <c:v>46067</c:v>
                </c:pt>
                <c:pt idx="6">
                  <c:v>46068</c:v>
                </c:pt>
                <c:pt idx="7">
                  <c:v>46069</c:v>
                </c:pt>
                <c:pt idx="8">
                  <c:v>46070</c:v>
                </c:pt>
                <c:pt idx="9">
                  <c:v>46071</c:v>
                </c:pt>
                <c:pt idx="10">
                  <c:v>46072</c:v>
                </c:pt>
                <c:pt idx="11">
                  <c:v>46073</c:v>
                </c:pt>
                <c:pt idx="12">
                  <c:v>46074</c:v>
                </c:pt>
                <c:pt idx="13">
                  <c:v>46075</c:v>
                </c:pt>
                <c:pt idx="14">
                  <c:v>46076</c:v>
                </c:pt>
                <c:pt idx="15">
                  <c:v>46077</c:v>
                </c:pt>
                <c:pt idx="16">
                  <c:v>46078</c:v>
                </c:pt>
                <c:pt idx="17">
                  <c:v>46079</c:v>
                </c:pt>
                <c:pt idx="18">
                  <c:v>46080</c:v>
                </c:pt>
                <c:pt idx="19">
                  <c:v>46081</c:v>
                </c:pt>
                <c:pt idx="20">
                  <c:v>46082</c:v>
                </c:pt>
                <c:pt idx="21">
                  <c:v>46083</c:v>
                </c:pt>
                <c:pt idx="22">
                  <c:v>46084</c:v>
                </c:pt>
                <c:pt idx="23">
                  <c:v>46085</c:v>
                </c:pt>
                <c:pt idx="24">
                  <c:v>46086</c:v>
                </c:pt>
                <c:pt idx="25">
                  <c:v>46087</c:v>
                </c:pt>
                <c:pt idx="26">
                  <c:v>46088</c:v>
                </c:pt>
                <c:pt idx="27">
                  <c:v>46089</c:v>
                </c:pt>
                <c:pt idx="28">
                  <c:v>46090</c:v>
                </c:pt>
                <c:pt idx="29">
                  <c:v>46091</c:v>
                </c:pt>
                <c:pt idx="30">
                  <c:v>46092</c:v>
                </c:pt>
                <c:pt idx="31">
                  <c:v>46093</c:v>
                </c:pt>
                <c:pt idx="32">
                  <c:v>46094</c:v>
                </c:pt>
                <c:pt idx="33">
                  <c:v>46095</c:v>
                </c:pt>
                <c:pt idx="34">
                  <c:v>46096</c:v>
                </c:pt>
                <c:pt idx="35">
                  <c:v>46097</c:v>
                </c:pt>
                <c:pt idx="36">
                  <c:v>46098</c:v>
                </c:pt>
                <c:pt idx="37">
                  <c:v>46099</c:v>
                </c:pt>
                <c:pt idx="38">
                  <c:v>46100</c:v>
                </c:pt>
                <c:pt idx="39">
                  <c:v>46101</c:v>
                </c:pt>
                <c:pt idx="40">
                  <c:v>46102</c:v>
                </c:pt>
                <c:pt idx="41">
                  <c:v>46103</c:v>
                </c:pt>
                <c:pt idx="42">
                  <c:v>46104</c:v>
                </c:pt>
                <c:pt idx="43">
                  <c:v>46105</c:v>
                </c:pt>
                <c:pt idx="44">
                  <c:v>46106</c:v>
                </c:pt>
                <c:pt idx="45">
                  <c:v>46107</c:v>
                </c:pt>
                <c:pt idx="46">
                  <c:v>46108</c:v>
                </c:pt>
                <c:pt idx="47">
                  <c:v>46109</c:v>
                </c:pt>
                <c:pt idx="48">
                  <c:v>46110</c:v>
                </c:pt>
                <c:pt idx="49">
                  <c:v>46111</c:v>
                </c:pt>
                <c:pt idx="50">
                  <c:v>46112</c:v>
                </c:pt>
                <c:pt idx="51">
                  <c:v>46113</c:v>
                </c:pt>
                <c:pt idx="52">
                  <c:v>46114</c:v>
                </c:pt>
                <c:pt idx="53">
                  <c:v>46115</c:v>
                </c:pt>
                <c:pt idx="54">
                  <c:v>46116</c:v>
                </c:pt>
                <c:pt idx="55">
                  <c:v>46117</c:v>
                </c:pt>
                <c:pt idx="56">
                  <c:v>46118</c:v>
                </c:pt>
                <c:pt idx="57">
                  <c:v>46119</c:v>
                </c:pt>
                <c:pt idx="58">
                  <c:v>46120</c:v>
                </c:pt>
                <c:pt idx="59">
                  <c:v>46121</c:v>
                </c:pt>
                <c:pt idx="60">
                  <c:v>46122</c:v>
                </c:pt>
                <c:pt idx="61">
                  <c:v>46123</c:v>
                </c:pt>
                <c:pt idx="62">
                  <c:v>46124</c:v>
                </c:pt>
                <c:pt idx="63">
                  <c:v>46125</c:v>
                </c:pt>
                <c:pt idx="64">
                  <c:v>46126</c:v>
                </c:pt>
                <c:pt idx="65">
                  <c:v>46127</c:v>
                </c:pt>
                <c:pt idx="66">
                  <c:v>46128</c:v>
                </c:pt>
                <c:pt idx="67">
                  <c:v>46129</c:v>
                </c:pt>
                <c:pt idx="68">
                  <c:v>46130</c:v>
                </c:pt>
                <c:pt idx="69">
                  <c:v>46131</c:v>
                </c:pt>
                <c:pt idx="70">
                  <c:v>46132</c:v>
                </c:pt>
                <c:pt idx="71">
                  <c:v>46133</c:v>
                </c:pt>
                <c:pt idx="72">
                  <c:v>46134</c:v>
                </c:pt>
                <c:pt idx="73">
                  <c:v>46135</c:v>
                </c:pt>
                <c:pt idx="74">
                  <c:v>46136</c:v>
                </c:pt>
                <c:pt idx="75">
                  <c:v>46137</c:v>
                </c:pt>
                <c:pt idx="76">
                  <c:v>46138</c:v>
                </c:pt>
                <c:pt idx="77">
                  <c:v>46139</c:v>
                </c:pt>
                <c:pt idx="78">
                  <c:v>46140</c:v>
                </c:pt>
                <c:pt idx="79">
                  <c:v>46141</c:v>
                </c:pt>
                <c:pt idx="80">
                  <c:v>46142</c:v>
                </c:pt>
                <c:pt idx="81">
                  <c:v>46143</c:v>
                </c:pt>
                <c:pt idx="82">
                  <c:v>46144</c:v>
                </c:pt>
                <c:pt idx="83">
                  <c:v>46145</c:v>
                </c:pt>
                <c:pt idx="84">
                  <c:v>46146</c:v>
                </c:pt>
                <c:pt idx="85">
                  <c:v>46147</c:v>
                </c:pt>
                <c:pt idx="86">
                  <c:v>46148</c:v>
                </c:pt>
                <c:pt idx="87">
                  <c:v>46149</c:v>
                </c:pt>
                <c:pt idx="88">
                  <c:v>46150</c:v>
                </c:pt>
                <c:pt idx="89">
                  <c:v>46151</c:v>
                </c:pt>
                <c:pt idx="90">
                  <c:v>46152</c:v>
                </c:pt>
                <c:pt idx="91">
                  <c:v>46153</c:v>
                </c:pt>
                <c:pt idx="92">
                  <c:v>46154</c:v>
                </c:pt>
                <c:pt idx="93">
                  <c:v>46155</c:v>
                </c:pt>
                <c:pt idx="94">
                  <c:v>46156</c:v>
                </c:pt>
                <c:pt idx="95">
                  <c:v>46157</c:v>
                </c:pt>
                <c:pt idx="96">
                  <c:v>46158</c:v>
                </c:pt>
                <c:pt idx="97">
                  <c:v>46159</c:v>
                </c:pt>
                <c:pt idx="98">
                  <c:v>46160</c:v>
                </c:pt>
                <c:pt idx="99">
                  <c:v>46161</c:v>
                </c:pt>
                <c:pt idx="100">
                  <c:v>46162</c:v>
                </c:pt>
                <c:pt idx="101">
                  <c:v>46163</c:v>
                </c:pt>
                <c:pt idx="102">
                  <c:v>46164</c:v>
                </c:pt>
                <c:pt idx="103">
                  <c:v>46165</c:v>
                </c:pt>
                <c:pt idx="104">
                  <c:v>46166</c:v>
                </c:pt>
                <c:pt idx="105">
                  <c:v>46167</c:v>
                </c:pt>
                <c:pt idx="106">
                  <c:v>46168</c:v>
                </c:pt>
                <c:pt idx="107">
                  <c:v>46169</c:v>
                </c:pt>
                <c:pt idx="108">
                  <c:v>46170</c:v>
                </c:pt>
                <c:pt idx="109">
                  <c:v>46171</c:v>
                </c:pt>
                <c:pt idx="110">
                  <c:v>46172</c:v>
                </c:pt>
                <c:pt idx="111">
                  <c:v>46173</c:v>
                </c:pt>
                <c:pt idx="112">
                  <c:v>46174</c:v>
                </c:pt>
                <c:pt idx="113">
                  <c:v>46175</c:v>
                </c:pt>
                <c:pt idx="114">
                  <c:v>46176</c:v>
                </c:pt>
                <c:pt idx="115">
                  <c:v>46177</c:v>
                </c:pt>
                <c:pt idx="116">
                  <c:v>46178</c:v>
                </c:pt>
                <c:pt idx="117">
                  <c:v>46179</c:v>
                </c:pt>
                <c:pt idx="118">
                  <c:v>46180</c:v>
                </c:pt>
                <c:pt idx="119">
                  <c:v>46181</c:v>
                </c:pt>
                <c:pt idx="120">
                  <c:v>46182</c:v>
                </c:pt>
                <c:pt idx="121">
                  <c:v>46183</c:v>
                </c:pt>
                <c:pt idx="122">
                  <c:v>46184</c:v>
                </c:pt>
                <c:pt idx="123">
                  <c:v>46185</c:v>
                </c:pt>
                <c:pt idx="124">
                  <c:v>46186</c:v>
                </c:pt>
                <c:pt idx="125">
                  <c:v>46187</c:v>
                </c:pt>
                <c:pt idx="126">
                  <c:v>46188</c:v>
                </c:pt>
                <c:pt idx="127">
                  <c:v>46189</c:v>
                </c:pt>
                <c:pt idx="128">
                  <c:v>46190</c:v>
                </c:pt>
                <c:pt idx="129">
                  <c:v>46191</c:v>
                </c:pt>
                <c:pt idx="130">
                  <c:v>46192</c:v>
                </c:pt>
                <c:pt idx="131">
                  <c:v>46193</c:v>
                </c:pt>
                <c:pt idx="132">
                  <c:v>46194</c:v>
                </c:pt>
                <c:pt idx="133">
                  <c:v>46195</c:v>
                </c:pt>
                <c:pt idx="134">
                  <c:v>46196</c:v>
                </c:pt>
                <c:pt idx="135">
                  <c:v>46197</c:v>
                </c:pt>
                <c:pt idx="136">
                  <c:v>46198</c:v>
                </c:pt>
                <c:pt idx="137">
                  <c:v>46199</c:v>
                </c:pt>
                <c:pt idx="138">
                  <c:v>46200</c:v>
                </c:pt>
                <c:pt idx="139">
                  <c:v>46201</c:v>
                </c:pt>
                <c:pt idx="140">
                  <c:v>46202</c:v>
                </c:pt>
                <c:pt idx="141">
                  <c:v>46203</c:v>
                </c:pt>
                <c:pt idx="142">
                  <c:v>46204</c:v>
                </c:pt>
                <c:pt idx="143">
                  <c:v>46205</c:v>
                </c:pt>
                <c:pt idx="144">
                  <c:v>46206</c:v>
                </c:pt>
                <c:pt idx="145">
                  <c:v>46207</c:v>
                </c:pt>
                <c:pt idx="146">
                  <c:v>46208</c:v>
                </c:pt>
                <c:pt idx="147">
                  <c:v>46209</c:v>
                </c:pt>
                <c:pt idx="148">
                  <c:v>46210</c:v>
                </c:pt>
                <c:pt idx="149">
                  <c:v>46211</c:v>
                </c:pt>
                <c:pt idx="150">
                  <c:v>46212</c:v>
                </c:pt>
                <c:pt idx="151">
                  <c:v>46213</c:v>
                </c:pt>
                <c:pt idx="152">
                  <c:v>46214</c:v>
                </c:pt>
                <c:pt idx="153">
                  <c:v>46215</c:v>
                </c:pt>
                <c:pt idx="154">
                  <c:v>46216</c:v>
                </c:pt>
                <c:pt idx="155">
                  <c:v>46217</c:v>
                </c:pt>
                <c:pt idx="156">
                  <c:v>46218</c:v>
                </c:pt>
                <c:pt idx="157">
                  <c:v>46219</c:v>
                </c:pt>
                <c:pt idx="158">
                  <c:v>46220</c:v>
                </c:pt>
                <c:pt idx="159">
                  <c:v>46221</c:v>
                </c:pt>
                <c:pt idx="160">
                  <c:v>46222</c:v>
                </c:pt>
                <c:pt idx="161">
                  <c:v>46223</c:v>
                </c:pt>
                <c:pt idx="162">
                  <c:v>46224</c:v>
                </c:pt>
                <c:pt idx="163">
                  <c:v>46225</c:v>
                </c:pt>
                <c:pt idx="164">
                  <c:v>46226</c:v>
                </c:pt>
                <c:pt idx="165">
                  <c:v>46227</c:v>
                </c:pt>
                <c:pt idx="166">
                  <c:v>46228</c:v>
                </c:pt>
                <c:pt idx="167">
                  <c:v>46229</c:v>
                </c:pt>
                <c:pt idx="168">
                  <c:v>46230</c:v>
                </c:pt>
                <c:pt idx="169">
                  <c:v>46231</c:v>
                </c:pt>
                <c:pt idx="170">
                  <c:v>46232</c:v>
                </c:pt>
                <c:pt idx="171">
                  <c:v>46233</c:v>
                </c:pt>
                <c:pt idx="172">
                  <c:v>46234</c:v>
                </c:pt>
                <c:pt idx="173">
                  <c:v>46235</c:v>
                </c:pt>
                <c:pt idx="174">
                  <c:v>46236</c:v>
                </c:pt>
                <c:pt idx="175">
                  <c:v>46237</c:v>
                </c:pt>
                <c:pt idx="176">
                  <c:v>46238</c:v>
                </c:pt>
                <c:pt idx="177">
                  <c:v>46239</c:v>
                </c:pt>
                <c:pt idx="178">
                  <c:v>46240</c:v>
                </c:pt>
                <c:pt idx="179">
                  <c:v>46241</c:v>
                </c:pt>
                <c:pt idx="180">
                  <c:v>46242</c:v>
                </c:pt>
                <c:pt idx="181">
                  <c:v>46243</c:v>
                </c:pt>
                <c:pt idx="182">
                  <c:v>46244</c:v>
                </c:pt>
                <c:pt idx="183">
                  <c:v>46245</c:v>
                </c:pt>
                <c:pt idx="184">
                  <c:v>46246</c:v>
                </c:pt>
                <c:pt idx="185">
                  <c:v>46247</c:v>
                </c:pt>
                <c:pt idx="186">
                  <c:v>46248</c:v>
                </c:pt>
              </c:numCache>
            </c:numRef>
          </c:cat>
          <c:val>
            <c:numRef>
              <c:f>'Daily Tracker'!$AB$2:$AB$188</c:f>
              <c:numCache>
                <c:formatCode>0.0%</c:formatCode>
                <c:ptCount val="187"/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1F-4F32-B6DB-331192BF76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numFmt formatCode="yyyy\-mm\-dd" sourceLinked="0"/>
        <c:majorTickMark val="none"/>
        <c:minorTickMark val="none"/>
        <c:tickLblPos val="nextTo"/>
        <c:crossAx val="48672768"/>
        <c:crosses val="autoZero"/>
        <c:auto val="1"/>
        <c:lblOffset val="100"/>
        <c:baseTimeUnit val="days"/>
      </c:dateAx>
      <c:valAx>
        <c:axId val="48672768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r"/>
      <c:overlay val="1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title>
      <c:tx>
        <c:rich>
          <a:bodyPr/>
          <a:lstStyle/>
          <a:p>
            <a:r>
              <a:rPr lang="de-DE"/>
              <a:t>Weekly Status Counts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'Weekly Summary'!$D$1</c:f>
              <c:strCache>
                <c:ptCount val="1"/>
                <c:pt idx="0">
                  <c:v>Green Days</c:v>
                </c:pt>
              </c:strCache>
            </c:strRef>
          </c:tx>
          <c:spPr>
            <a:ln/>
          </c:spPr>
          <c:invertIfNegative val="1"/>
          <c:cat>
            <c:numRef>
              <c:f>'Weekly Summary'!$A$2:$A$28</c:f>
              <c:numCache>
                <c:formatCode>yyyy\-mm\-dd</c:formatCode>
                <c:ptCount val="27"/>
                <c:pt idx="0">
                  <c:v>46062</c:v>
                </c:pt>
                <c:pt idx="1">
                  <c:v>46069</c:v>
                </c:pt>
                <c:pt idx="2">
                  <c:v>46076</c:v>
                </c:pt>
                <c:pt idx="3">
                  <c:v>46083</c:v>
                </c:pt>
                <c:pt idx="4">
                  <c:v>46090</c:v>
                </c:pt>
                <c:pt idx="5">
                  <c:v>46097</c:v>
                </c:pt>
                <c:pt idx="6">
                  <c:v>46104</c:v>
                </c:pt>
                <c:pt idx="7">
                  <c:v>46111</c:v>
                </c:pt>
                <c:pt idx="8">
                  <c:v>46118</c:v>
                </c:pt>
                <c:pt idx="9">
                  <c:v>46125</c:v>
                </c:pt>
                <c:pt idx="10">
                  <c:v>46132</c:v>
                </c:pt>
                <c:pt idx="11">
                  <c:v>46139</c:v>
                </c:pt>
                <c:pt idx="12">
                  <c:v>46146</c:v>
                </c:pt>
                <c:pt idx="13">
                  <c:v>46153</c:v>
                </c:pt>
                <c:pt idx="14">
                  <c:v>46160</c:v>
                </c:pt>
                <c:pt idx="15">
                  <c:v>46167</c:v>
                </c:pt>
                <c:pt idx="16">
                  <c:v>46174</c:v>
                </c:pt>
                <c:pt idx="17">
                  <c:v>46181</c:v>
                </c:pt>
                <c:pt idx="18">
                  <c:v>46188</c:v>
                </c:pt>
                <c:pt idx="19">
                  <c:v>46195</c:v>
                </c:pt>
                <c:pt idx="20">
                  <c:v>46202</c:v>
                </c:pt>
                <c:pt idx="21">
                  <c:v>46209</c:v>
                </c:pt>
                <c:pt idx="22">
                  <c:v>46216</c:v>
                </c:pt>
                <c:pt idx="23">
                  <c:v>46223</c:v>
                </c:pt>
                <c:pt idx="24">
                  <c:v>46230</c:v>
                </c:pt>
                <c:pt idx="25">
                  <c:v>46237</c:v>
                </c:pt>
                <c:pt idx="26">
                  <c:v>46244</c:v>
                </c:pt>
              </c:numCache>
            </c:numRef>
          </c:cat>
          <c:val>
            <c:numRef>
              <c:f>'Weekly Summary'!$D$2:$D$28</c:f>
              <c:numCache>
                <c:formatCode>General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BC-4439-849B-BF92BDD47968}"/>
            </c:ext>
          </c:extLst>
        </c:ser>
        <c:ser>
          <c:idx val="1"/>
          <c:order val="1"/>
          <c:tx>
            <c:strRef>
              <c:f>'Weekly Summary'!$E$1</c:f>
              <c:strCache>
                <c:ptCount val="1"/>
                <c:pt idx="0">
                  <c:v>Yellow Days</c:v>
                </c:pt>
              </c:strCache>
            </c:strRef>
          </c:tx>
          <c:spPr>
            <a:ln/>
          </c:spPr>
          <c:invertIfNegative val="1"/>
          <c:cat>
            <c:numRef>
              <c:f>'Weekly Summary'!$A$2:$A$28</c:f>
              <c:numCache>
                <c:formatCode>yyyy\-mm\-dd</c:formatCode>
                <c:ptCount val="27"/>
                <c:pt idx="0">
                  <c:v>46062</c:v>
                </c:pt>
                <c:pt idx="1">
                  <c:v>46069</c:v>
                </c:pt>
                <c:pt idx="2">
                  <c:v>46076</c:v>
                </c:pt>
                <c:pt idx="3">
                  <c:v>46083</c:v>
                </c:pt>
                <c:pt idx="4">
                  <c:v>46090</c:v>
                </c:pt>
                <c:pt idx="5">
                  <c:v>46097</c:v>
                </c:pt>
                <c:pt idx="6">
                  <c:v>46104</c:v>
                </c:pt>
                <c:pt idx="7">
                  <c:v>46111</c:v>
                </c:pt>
                <c:pt idx="8">
                  <c:v>46118</c:v>
                </c:pt>
                <c:pt idx="9">
                  <c:v>46125</c:v>
                </c:pt>
                <c:pt idx="10">
                  <c:v>46132</c:v>
                </c:pt>
                <c:pt idx="11">
                  <c:v>46139</c:v>
                </c:pt>
                <c:pt idx="12">
                  <c:v>46146</c:v>
                </c:pt>
                <c:pt idx="13">
                  <c:v>46153</c:v>
                </c:pt>
                <c:pt idx="14">
                  <c:v>46160</c:v>
                </c:pt>
                <c:pt idx="15">
                  <c:v>46167</c:v>
                </c:pt>
                <c:pt idx="16">
                  <c:v>46174</c:v>
                </c:pt>
                <c:pt idx="17">
                  <c:v>46181</c:v>
                </c:pt>
                <c:pt idx="18">
                  <c:v>46188</c:v>
                </c:pt>
                <c:pt idx="19">
                  <c:v>46195</c:v>
                </c:pt>
                <c:pt idx="20">
                  <c:v>46202</c:v>
                </c:pt>
                <c:pt idx="21">
                  <c:v>46209</c:v>
                </c:pt>
                <c:pt idx="22">
                  <c:v>46216</c:v>
                </c:pt>
                <c:pt idx="23">
                  <c:v>46223</c:v>
                </c:pt>
                <c:pt idx="24">
                  <c:v>46230</c:v>
                </c:pt>
                <c:pt idx="25">
                  <c:v>46237</c:v>
                </c:pt>
                <c:pt idx="26">
                  <c:v>46244</c:v>
                </c:pt>
              </c:numCache>
            </c:numRef>
          </c:cat>
          <c:val>
            <c:numRef>
              <c:f>'Weekly Summary'!$E$2:$E$28</c:f>
              <c:numCache>
                <c:formatCode>General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BC-4439-849B-BF92BDD47968}"/>
            </c:ext>
          </c:extLst>
        </c:ser>
        <c:ser>
          <c:idx val="2"/>
          <c:order val="2"/>
          <c:tx>
            <c:strRef>
              <c:f>'Weekly Summary'!$F$1</c:f>
              <c:strCache>
                <c:ptCount val="1"/>
                <c:pt idx="0">
                  <c:v>Grey Days</c:v>
                </c:pt>
              </c:strCache>
            </c:strRef>
          </c:tx>
          <c:spPr>
            <a:ln/>
          </c:spPr>
          <c:invertIfNegative val="1"/>
          <c:cat>
            <c:numRef>
              <c:f>'Weekly Summary'!$A$2:$A$28</c:f>
              <c:numCache>
                <c:formatCode>yyyy\-mm\-dd</c:formatCode>
                <c:ptCount val="27"/>
                <c:pt idx="0">
                  <c:v>46062</c:v>
                </c:pt>
                <c:pt idx="1">
                  <c:v>46069</c:v>
                </c:pt>
                <c:pt idx="2">
                  <c:v>46076</c:v>
                </c:pt>
                <c:pt idx="3">
                  <c:v>46083</c:v>
                </c:pt>
                <c:pt idx="4">
                  <c:v>46090</c:v>
                </c:pt>
                <c:pt idx="5">
                  <c:v>46097</c:v>
                </c:pt>
                <c:pt idx="6">
                  <c:v>46104</c:v>
                </c:pt>
                <c:pt idx="7">
                  <c:v>46111</c:v>
                </c:pt>
                <c:pt idx="8">
                  <c:v>46118</c:v>
                </c:pt>
                <c:pt idx="9">
                  <c:v>46125</c:v>
                </c:pt>
                <c:pt idx="10">
                  <c:v>46132</c:v>
                </c:pt>
                <c:pt idx="11">
                  <c:v>46139</c:v>
                </c:pt>
                <c:pt idx="12">
                  <c:v>46146</c:v>
                </c:pt>
                <c:pt idx="13">
                  <c:v>46153</c:v>
                </c:pt>
                <c:pt idx="14">
                  <c:v>46160</c:v>
                </c:pt>
                <c:pt idx="15">
                  <c:v>46167</c:v>
                </c:pt>
                <c:pt idx="16">
                  <c:v>46174</c:v>
                </c:pt>
                <c:pt idx="17">
                  <c:v>46181</c:v>
                </c:pt>
                <c:pt idx="18">
                  <c:v>46188</c:v>
                </c:pt>
                <c:pt idx="19">
                  <c:v>46195</c:v>
                </c:pt>
                <c:pt idx="20">
                  <c:v>46202</c:v>
                </c:pt>
                <c:pt idx="21">
                  <c:v>46209</c:v>
                </c:pt>
                <c:pt idx="22">
                  <c:v>46216</c:v>
                </c:pt>
                <c:pt idx="23">
                  <c:v>46223</c:v>
                </c:pt>
                <c:pt idx="24">
                  <c:v>46230</c:v>
                </c:pt>
                <c:pt idx="25">
                  <c:v>46237</c:v>
                </c:pt>
                <c:pt idx="26">
                  <c:v>46244</c:v>
                </c:pt>
              </c:numCache>
            </c:numRef>
          </c:cat>
          <c:val>
            <c:numRef>
              <c:f>'Weekly Summary'!$F$2:$F$28</c:f>
              <c:numCache>
                <c:formatCode>General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BBC-4439-849B-BF92BDD479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dateAx>
        <c:axId val="48650112"/>
        <c:scaling>
          <c:orientation val="minMax"/>
        </c:scaling>
        <c:delete val="0"/>
        <c:axPos val="b"/>
        <c:numFmt formatCode="yyyy\-mm\-dd" sourceLinked="0"/>
        <c:majorTickMark val="none"/>
        <c:minorTickMark val="none"/>
        <c:tickLblPos val="nextTo"/>
        <c:crossAx val="48672768"/>
        <c:crosses val="autoZero"/>
        <c:auto val="1"/>
        <c:lblOffset val="100"/>
        <c:baseTimeUnit val="days"/>
      </c:dateAx>
      <c:valAx>
        <c:axId val="48672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r"/>
      <c:overlay val="1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28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10</xdr:row>
      <xdr:rowOff>0</xdr:rowOff>
    </xdr:from>
    <xdr:to>
      <xdr:col>19</xdr:col>
      <xdr:colOff>0</xdr:colOff>
      <xdr:row>28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9</xdr:col>
      <xdr:colOff>0</xdr:colOff>
      <xdr:row>47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29</xdr:row>
      <xdr:rowOff>0</xdr:rowOff>
    </xdr:from>
    <xdr:to>
      <xdr:col>19</xdr:col>
      <xdr:colOff>0</xdr:colOff>
      <xdr:row>47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88"/>
  <sheetViews>
    <sheetView showGridLines="0" tabSelected="1" workbookViewId="0"/>
  </sheetViews>
  <sheetFormatPr baseColWidth="10" defaultColWidth="8.88671875" defaultRowHeight="14.4" x14ac:dyDescent="0.3"/>
  <cols>
    <col min="1" max="1" width="12" customWidth="1"/>
    <col min="2" max="2" width="14" customWidth="1"/>
    <col min="3" max="4" width="18" customWidth="1"/>
    <col min="5" max="7" width="22" customWidth="1"/>
    <col min="8" max="8" width="8" customWidth="1"/>
    <col min="9" max="9" width="22" customWidth="1"/>
    <col min="10" max="10" width="8" customWidth="1"/>
    <col min="11" max="11" width="22" customWidth="1"/>
    <col min="12" max="12" width="8" customWidth="1"/>
    <col min="13" max="13" width="11" customWidth="1"/>
    <col min="14" max="14" width="10" customWidth="1"/>
    <col min="15" max="15" width="8" customWidth="1"/>
    <col min="16" max="16" width="10" customWidth="1"/>
    <col min="17" max="17" width="12" customWidth="1"/>
    <col min="18" max="18" width="13" customWidth="1"/>
    <col min="19" max="19" width="10" customWidth="1"/>
    <col min="20" max="20" width="13" customWidth="1"/>
    <col min="21" max="21" width="11" customWidth="1"/>
    <col min="22" max="22" width="14" customWidth="1"/>
    <col min="23" max="23" width="10" customWidth="1"/>
    <col min="24" max="24" width="9" customWidth="1"/>
    <col min="25" max="25" width="14" customWidth="1"/>
    <col min="26" max="26" width="10" customWidth="1"/>
    <col min="27" max="27" width="16" customWidth="1"/>
    <col min="28" max="28" width="12" customWidth="1"/>
    <col min="29" max="30" width="10" customWidth="1"/>
    <col min="31" max="31" width="12" customWidth="1"/>
    <col min="32" max="32" width="11" customWidth="1"/>
    <col min="33" max="34" width="10" customWidth="1"/>
    <col min="35" max="35" width="18" customWidth="1"/>
    <col min="36" max="36" width="28" customWidth="1"/>
    <col min="37" max="37" width="24" customWidth="1"/>
    <col min="38" max="38" width="30" customWidth="1"/>
    <col min="39" max="39" width="34" customWidth="1"/>
  </cols>
  <sheetData>
    <row r="1" spans="1:39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7</v>
      </c>
      <c r="K1" s="1" t="s">
        <v>9</v>
      </c>
      <c r="L1" s="1" t="s">
        <v>7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</row>
    <row r="2" spans="1:39" x14ac:dyDescent="0.3">
      <c r="A2" s="2"/>
      <c r="B2" s="3"/>
      <c r="C2" s="3"/>
      <c r="D2" s="3"/>
      <c r="E2" s="3"/>
      <c r="F2" s="4"/>
      <c r="G2" s="4"/>
      <c r="H2" s="3"/>
      <c r="I2" s="4"/>
      <c r="J2" s="3"/>
      <c r="K2" s="4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5"/>
      <c r="AB2" s="6"/>
      <c r="AC2" s="5"/>
      <c r="AD2" s="5"/>
      <c r="AE2" s="3"/>
      <c r="AF2" s="5"/>
      <c r="AG2" s="5"/>
      <c r="AH2" s="3"/>
      <c r="AI2" s="5"/>
      <c r="AJ2" s="4"/>
      <c r="AK2" s="4"/>
      <c r="AL2" s="4"/>
      <c r="AM2" s="4"/>
    </row>
    <row r="3" spans="1:39" x14ac:dyDescent="0.3">
      <c r="A3" s="2"/>
      <c r="B3" s="3"/>
      <c r="C3" s="3"/>
      <c r="D3" s="3"/>
      <c r="E3" s="3"/>
      <c r="F3" s="4"/>
      <c r="G3" s="4"/>
      <c r="H3" s="3"/>
      <c r="I3" s="4"/>
      <c r="J3" s="3"/>
      <c r="K3" s="4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5"/>
      <c r="AB3" s="6"/>
      <c r="AC3" s="5"/>
      <c r="AD3" s="5"/>
      <c r="AE3" s="3"/>
      <c r="AF3" s="5"/>
      <c r="AG3" s="5"/>
      <c r="AH3" s="3"/>
      <c r="AI3" s="5"/>
      <c r="AJ3" s="4"/>
      <c r="AK3" s="4"/>
      <c r="AL3" s="4"/>
      <c r="AM3" s="4"/>
    </row>
    <row r="4" spans="1:39" x14ac:dyDescent="0.3">
      <c r="A4" s="2">
        <v>46064</v>
      </c>
      <c r="B4" s="3" t="s">
        <v>37</v>
      </c>
      <c r="C4" s="3"/>
      <c r="D4" s="3"/>
      <c r="E4" s="3"/>
      <c r="F4" s="4"/>
      <c r="G4" s="4"/>
      <c r="H4" s="3"/>
      <c r="I4" s="4"/>
      <c r="J4" s="3"/>
      <c r="K4" s="4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 t="str">
        <f t="shared" ref="Z2:Z33" si="0">IF(COUNTA(C4:Y4)&gt;0,"Yes","No")</f>
        <v>No</v>
      </c>
      <c r="AA4" s="5" t="str">
        <f t="shared" ref="AA2:AA33" si="1">IF(Z4="No","",COUNTIF(M4:X4,"✅"))</f>
        <v/>
      </c>
      <c r="AB4" s="6" t="str">
        <f>IF(AA4="","",AA4/Settings!$B$7)</f>
        <v/>
      </c>
      <c r="AC4" s="5" t="str">
        <f t="shared" ref="AC2:AC33" si="2">IF(Z4="No","",COUNTIF(H4,"✅")+COUNTIF(J4,"✅")+COUNTIF(L4,"✅"))</f>
        <v/>
      </c>
      <c r="AD4" s="5" t="str">
        <f t="shared" ref="AD2:AD33" si="3">IF(AA4="","",AA4+AC4)</f>
        <v/>
      </c>
      <c r="AE4" s="3" t="str">
        <f>IF(Z4="No","",IF(AND(AA4&gt;=Settings!$B$4, Y4="Yes"),"Green",IF(AA4&gt;=Settings!$B$5,"Yellow","Grey")))</f>
        <v/>
      </c>
      <c r="AF4" s="5">
        <f t="shared" ref="AF3:AF34" si="4">IF(AE4="Green",AF3+1,0)</f>
        <v>0</v>
      </c>
      <c r="AG4" s="5">
        <f t="shared" ref="AG3:AG34" si="5">IF(AE4="Grey",AG3+1,0)</f>
        <v>0</v>
      </c>
      <c r="AH4" s="3" t="str">
        <f t="shared" ref="AH2:AH33" si="6">IF(AG4&gt;=2,"ALERT","")</f>
        <v/>
      </c>
      <c r="AI4" s="5" t="str">
        <f>IF(Z4="No","",MIN(100,ROUND((AA4/Settings!$B$7)*Settings!$B$10 + IF(Y4="Yes",Settings!$B$11,0) + IF(E4="",0,E4*Settings!$B$12),0)))</f>
        <v/>
      </c>
      <c r="AJ4" s="4" t="str">
        <f t="shared" ref="AJ2:AJ33" si="7">IF(Z4="No","",IF(M4="❌","Sleep; ","")&amp;IF(N4="❌","No Snooze; ","")&amp;IF(O4="❌","Water; ","")&amp;IF(P4="❌","Gratitude; ","")&amp;IF(Q4="❌","Meditation; ","")&amp;IF(R4="❌","Exercise; ","")&amp;IF(S4="❌","Plan Day; ","")&amp;IF(T4="❌","Deep Work; ","")&amp;IF(U4="❌","One-Tab; ","")&amp;IF(V4="❌","Writing; ","")&amp;IF(W4="❌","Reading; ","")&amp;IF(X4="❌","Tidy; ",""))</f>
        <v/>
      </c>
      <c r="AK4" s="4"/>
      <c r="AL4" s="4" t="str">
        <f t="shared" ref="AL2:AL33" si="8">IF(Z4="No","",IF(AND(G4&lt;&gt;"",H4&lt;&gt;"✅"),G4&amp;"; ","")&amp;IF(AND(I4&lt;&gt;"",J4&lt;&gt;"✅"),I4&amp;"; ","")&amp;IF(AND(K4&lt;&gt;"",L4&lt;&gt;"✅"),K4&amp;"; ",""))</f>
        <v/>
      </c>
      <c r="AM4" s="4" t="str">
        <f t="shared" ref="AM2:AM33" si="9">IF(Z4="No","",AJ4&amp;AL4)</f>
        <v/>
      </c>
    </row>
    <row r="5" spans="1:39" x14ac:dyDescent="0.3">
      <c r="A5" s="2">
        <v>46065</v>
      </c>
      <c r="B5" s="3" t="s">
        <v>37</v>
      </c>
      <c r="C5" s="3"/>
      <c r="D5" s="3"/>
      <c r="E5" s="3"/>
      <c r="F5" s="4"/>
      <c r="G5" s="4"/>
      <c r="H5" s="3"/>
      <c r="I5" s="4"/>
      <c r="J5" s="3"/>
      <c r="K5" s="4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 t="str">
        <f t="shared" si="0"/>
        <v>No</v>
      </c>
      <c r="AA5" s="5" t="str">
        <f t="shared" si="1"/>
        <v/>
      </c>
      <c r="AB5" s="6" t="str">
        <f>IF(AA5="","",AA5/Settings!$B$7)</f>
        <v/>
      </c>
      <c r="AC5" s="5" t="str">
        <f t="shared" si="2"/>
        <v/>
      </c>
      <c r="AD5" s="5" t="str">
        <f t="shared" si="3"/>
        <v/>
      </c>
      <c r="AE5" s="3" t="str">
        <f>IF(Z5="No","",IF(AND(AA5&gt;=Settings!$B$4, Y5="Yes"),"Green",IF(AA5&gt;=Settings!$B$5,"Yellow","Grey")))</f>
        <v/>
      </c>
      <c r="AF5" s="5">
        <f t="shared" si="4"/>
        <v>0</v>
      </c>
      <c r="AG5" s="5">
        <f t="shared" si="5"/>
        <v>0</v>
      </c>
      <c r="AH5" s="3" t="str">
        <f t="shared" si="6"/>
        <v/>
      </c>
      <c r="AI5" s="5" t="str">
        <f>IF(Z5="No","",MIN(100,ROUND((AA5/Settings!$B$7)*Settings!$B$10 + IF(Y5="Yes",Settings!$B$11,0) + IF(E5="",0,E5*Settings!$B$12),0)))</f>
        <v/>
      </c>
      <c r="AJ5" s="4" t="str">
        <f t="shared" si="7"/>
        <v/>
      </c>
      <c r="AK5" s="4"/>
      <c r="AL5" s="4" t="str">
        <f t="shared" si="8"/>
        <v/>
      </c>
      <c r="AM5" s="4" t="str">
        <f t="shared" si="9"/>
        <v/>
      </c>
    </row>
    <row r="6" spans="1:39" x14ac:dyDescent="0.3">
      <c r="A6" s="2">
        <v>46066</v>
      </c>
      <c r="B6" s="3" t="s">
        <v>37</v>
      </c>
      <c r="C6" s="3"/>
      <c r="D6" s="3"/>
      <c r="E6" s="3"/>
      <c r="F6" s="4"/>
      <c r="G6" s="4"/>
      <c r="H6" s="3"/>
      <c r="I6" s="4"/>
      <c r="J6" s="3"/>
      <c r="K6" s="4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 t="str">
        <f t="shared" si="0"/>
        <v>No</v>
      </c>
      <c r="AA6" s="5" t="str">
        <f t="shared" si="1"/>
        <v/>
      </c>
      <c r="AB6" s="6" t="str">
        <f>IF(AA6="","",AA6/Settings!$B$7)</f>
        <v/>
      </c>
      <c r="AC6" s="5" t="str">
        <f t="shared" si="2"/>
        <v/>
      </c>
      <c r="AD6" s="5" t="str">
        <f t="shared" si="3"/>
        <v/>
      </c>
      <c r="AE6" s="3" t="str">
        <f>IF(Z6="No","",IF(AND(AA6&gt;=Settings!$B$4, Y6="Yes"),"Green",IF(AA6&gt;=Settings!$B$5,"Yellow","Grey")))</f>
        <v/>
      </c>
      <c r="AF6" s="5">
        <f t="shared" si="4"/>
        <v>0</v>
      </c>
      <c r="AG6" s="5">
        <f t="shared" si="5"/>
        <v>0</v>
      </c>
      <c r="AH6" s="3" t="str">
        <f t="shared" si="6"/>
        <v/>
      </c>
      <c r="AI6" s="5" t="str">
        <f>IF(Z6="No","",MIN(100,ROUND((AA6/Settings!$B$7)*Settings!$B$10 + IF(Y6="Yes",Settings!$B$11,0) + IF(E6="",0,E6*Settings!$B$12),0)))</f>
        <v/>
      </c>
      <c r="AJ6" s="4" t="str">
        <f t="shared" si="7"/>
        <v/>
      </c>
      <c r="AK6" s="4"/>
      <c r="AL6" s="4" t="str">
        <f t="shared" si="8"/>
        <v/>
      </c>
      <c r="AM6" s="4" t="str">
        <f t="shared" si="9"/>
        <v/>
      </c>
    </row>
    <row r="7" spans="1:39" x14ac:dyDescent="0.3">
      <c r="A7" s="2">
        <v>46067</v>
      </c>
      <c r="B7" s="3" t="s">
        <v>38</v>
      </c>
      <c r="C7" s="3"/>
      <c r="D7" s="3"/>
      <c r="E7" s="3"/>
      <c r="F7" s="4"/>
      <c r="G7" s="4"/>
      <c r="H7" s="3"/>
      <c r="I7" s="4"/>
      <c r="J7" s="3"/>
      <c r="K7" s="4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 t="str">
        <f t="shared" si="0"/>
        <v>No</v>
      </c>
      <c r="AA7" s="5" t="str">
        <f t="shared" si="1"/>
        <v/>
      </c>
      <c r="AB7" s="6" t="str">
        <f>IF(AA7="","",AA7/Settings!$B$7)</f>
        <v/>
      </c>
      <c r="AC7" s="5" t="str">
        <f t="shared" si="2"/>
        <v/>
      </c>
      <c r="AD7" s="5" t="str">
        <f t="shared" si="3"/>
        <v/>
      </c>
      <c r="AE7" s="3" t="str">
        <f>IF(Z7="No","",IF(AND(AA7&gt;=Settings!$B$4, Y7="Yes"),"Green",IF(AA7&gt;=Settings!$B$5,"Yellow","Grey")))</f>
        <v/>
      </c>
      <c r="AF7" s="5">
        <f t="shared" si="4"/>
        <v>0</v>
      </c>
      <c r="AG7" s="5">
        <f t="shared" si="5"/>
        <v>0</v>
      </c>
      <c r="AH7" s="3" t="str">
        <f t="shared" si="6"/>
        <v/>
      </c>
      <c r="AI7" s="5" t="str">
        <f>IF(Z7="No","",MIN(100,ROUND((AA7/Settings!$B$7)*Settings!$B$10 + IF(Y7="Yes",Settings!$B$11,0) + IF(E7="",0,E7*Settings!$B$12),0)))</f>
        <v/>
      </c>
      <c r="AJ7" s="4" t="str">
        <f t="shared" si="7"/>
        <v/>
      </c>
      <c r="AK7" s="4"/>
      <c r="AL7" s="4" t="str">
        <f t="shared" si="8"/>
        <v/>
      </c>
      <c r="AM7" s="4" t="str">
        <f t="shared" si="9"/>
        <v/>
      </c>
    </row>
    <row r="8" spans="1:39" x14ac:dyDescent="0.3">
      <c r="A8" s="2">
        <v>46068</v>
      </c>
      <c r="B8" s="3" t="s">
        <v>38</v>
      </c>
      <c r="C8" s="3"/>
      <c r="D8" s="3"/>
      <c r="E8" s="3"/>
      <c r="F8" s="4"/>
      <c r="G8" s="4"/>
      <c r="H8" s="3"/>
      <c r="I8" s="4"/>
      <c r="J8" s="3"/>
      <c r="K8" s="4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 t="str">
        <f t="shared" si="0"/>
        <v>No</v>
      </c>
      <c r="AA8" s="5" t="str">
        <f t="shared" si="1"/>
        <v/>
      </c>
      <c r="AB8" s="6" t="str">
        <f>IF(AA8="","",AA8/Settings!$B$7)</f>
        <v/>
      </c>
      <c r="AC8" s="5" t="str">
        <f t="shared" si="2"/>
        <v/>
      </c>
      <c r="AD8" s="5" t="str">
        <f t="shared" si="3"/>
        <v/>
      </c>
      <c r="AE8" s="3" t="str">
        <f>IF(Z8="No","",IF(AND(AA8&gt;=Settings!$B$4, Y8="Yes"),"Green",IF(AA8&gt;=Settings!$B$5,"Yellow","Grey")))</f>
        <v/>
      </c>
      <c r="AF8" s="5">
        <f t="shared" si="4"/>
        <v>0</v>
      </c>
      <c r="AG8" s="5">
        <f t="shared" si="5"/>
        <v>0</v>
      </c>
      <c r="AH8" s="3" t="str">
        <f t="shared" si="6"/>
        <v/>
      </c>
      <c r="AI8" s="5" t="str">
        <f>IF(Z8="No","",MIN(100,ROUND((AA8/Settings!$B$7)*Settings!$B$10 + IF(Y8="Yes",Settings!$B$11,0) + IF(E8="",0,E8*Settings!$B$12),0)))</f>
        <v/>
      </c>
      <c r="AJ8" s="4" t="str">
        <f t="shared" si="7"/>
        <v/>
      </c>
      <c r="AK8" s="4"/>
      <c r="AL8" s="4" t="str">
        <f t="shared" si="8"/>
        <v/>
      </c>
      <c r="AM8" s="4" t="str">
        <f t="shared" si="9"/>
        <v/>
      </c>
    </row>
    <row r="9" spans="1:39" x14ac:dyDescent="0.3">
      <c r="A9" s="2">
        <v>46069</v>
      </c>
      <c r="B9" s="3" t="s">
        <v>37</v>
      </c>
      <c r="C9" s="3"/>
      <c r="D9" s="3"/>
      <c r="E9" s="3"/>
      <c r="F9" s="4"/>
      <c r="G9" s="4"/>
      <c r="H9" s="3"/>
      <c r="I9" s="4"/>
      <c r="J9" s="3"/>
      <c r="K9" s="4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 t="str">
        <f t="shared" si="0"/>
        <v>No</v>
      </c>
      <c r="AA9" s="5" t="str">
        <f t="shared" si="1"/>
        <v/>
      </c>
      <c r="AB9" s="6" t="str">
        <f>IF(AA9="","",AA9/Settings!$B$7)</f>
        <v/>
      </c>
      <c r="AC9" s="5" t="str">
        <f t="shared" si="2"/>
        <v/>
      </c>
      <c r="AD9" s="5" t="str">
        <f t="shared" si="3"/>
        <v/>
      </c>
      <c r="AE9" s="3" t="str">
        <f>IF(Z9="No","",IF(AND(AA9&gt;=Settings!$B$4, Y9="Yes"),"Green",IF(AA9&gt;=Settings!$B$5,"Yellow","Grey")))</f>
        <v/>
      </c>
      <c r="AF9" s="5">
        <f t="shared" si="4"/>
        <v>0</v>
      </c>
      <c r="AG9" s="5">
        <f t="shared" si="5"/>
        <v>0</v>
      </c>
      <c r="AH9" s="3" t="str">
        <f t="shared" si="6"/>
        <v/>
      </c>
      <c r="AI9" s="5" t="str">
        <f>IF(Z9="No","",MIN(100,ROUND((AA9/Settings!$B$7)*Settings!$B$10 + IF(Y9="Yes",Settings!$B$11,0) + IF(E9="",0,E9*Settings!$B$12),0)))</f>
        <v/>
      </c>
      <c r="AJ9" s="4" t="str">
        <f t="shared" si="7"/>
        <v/>
      </c>
      <c r="AK9" s="4"/>
      <c r="AL9" s="4" t="str">
        <f t="shared" si="8"/>
        <v/>
      </c>
      <c r="AM9" s="4" t="str">
        <f t="shared" si="9"/>
        <v/>
      </c>
    </row>
    <row r="10" spans="1:39" x14ac:dyDescent="0.3">
      <c r="A10" s="2">
        <v>46070</v>
      </c>
      <c r="B10" s="3" t="s">
        <v>37</v>
      </c>
      <c r="C10" s="3"/>
      <c r="D10" s="3"/>
      <c r="E10" s="3"/>
      <c r="F10" s="4"/>
      <c r="G10" s="4"/>
      <c r="H10" s="3"/>
      <c r="I10" s="4"/>
      <c r="J10" s="3"/>
      <c r="K10" s="4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 t="str">
        <f t="shared" si="0"/>
        <v>No</v>
      </c>
      <c r="AA10" s="5" t="str">
        <f t="shared" si="1"/>
        <v/>
      </c>
      <c r="AB10" s="6" t="str">
        <f>IF(AA10="","",AA10/Settings!$B$7)</f>
        <v/>
      </c>
      <c r="AC10" s="5" t="str">
        <f t="shared" si="2"/>
        <v/>
      </c>
      <c r="AD10" s="5" t="str">
        <f t="shared" si="3"/>
        <v/>
      </c>
      <c r="AE10" s="3" t="str">
        <f>IF(Z10="No","",IF(AND(AA10&gt;=Settings!$B$4, Y10="Yes"),"Green",IF(AA10&gt;=Settings!$B$5,"Yellow","Grey")))</f>
        <v/>
      </c>
      <c r="AF10" s="5">
        <f t="shared" si="4"/>
        <v>0</v>
      </c>
      <c r="AG10" s="5">
        <f t="shared" si="5"/>
        <v>0</v>
      </c>
      <c r="AH10" s="3" t="str">
        <f t="shared" si="6"/>
        <v/>
      </c>
      <c r="AI10" s="5" t="str">
        <f>IF(Z10="No","",MIN(100,ROUND((AA10/Settings!$B$7)*Settings!$B$10 + IF(Y10="Yes",Settings!$B$11,0) + IF(E10="",0,E10*Settings!$B$12),0)))</f>
        <v/>
      </c>
      <c r="AJ10" s="4" t="str">
        <f t="shared" si="7"/>
        <v/>
      </c>
      <c r="AK10" s="4"/>
      <c r="AL10" s="4" t="str">
        <f t="shared" si="8"/>
        <v/>
      </c>
      <c r="AM10" s="4" t="str">
        <f t="shared" si="9"/>
        <v/>
      </c>
    </row>
    <row r="11" spans="1:39" x14ac:dyDescent="0.3">
      <c r="A11" s="2">
        <v>46071</v>
      </c>
      <c r="B11" s="3" t="s">
        <v>37</v>
      </c>
      <c r="C11" s="3"/>
      <c r="D11" s="3"/>
      <c r="E11" s="3"/>
      <c r="F11" s="4"/>
      <c r="G11" s="4"/>
      <c r="H11" s="3"/>
      <c r="I11" s="4"/>
      <c r="J11" s="3"/>
      <c r="K11" s="4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 t="str">
        <f t="shared" si="0"/>
        <v>No</v>
      </c>
      <c r="AA11" s="5" t="str">
        <f t="shared" si="1"/>
        <v/>
      </c>
      <c r="AB11" s="6" t="str">
        <f>IF(AA11="","",AA11/Settings!$B$7)</f>
        <v/>
      </c>
      <c r="AC11" s="5" t="str">
        <f t="shared" si="2"/>
        <v/>
      </c>
      <c r="AD11" s="5" t="str">
        <f t="shared" si="3"/>
        <v/>
      </c>
      <c r="AE11" s="3" t="str">
        <f>IF(Z11="No","",IF(AND(AA11&gt;=Settings!$B$4, Y11="Yes"),"Green",IF(AA11&gt;=Settings!$B$5,"Yellow","Grey")))</f>
        <v/>
      </c>
      <c r="AF11" s="5">
        <f t="shared" si="4"/>
        <v>0</v>
      </c>
      <c r="AG11" s="5">
        <f t="shared" si="5"/>
        <v>0</v>
      </c>
      <c r="AH11" s="3" t="str">
        <f t="shared" si="6"/>
        <v/>
      </c>
      <c r="AI11" s="5" t="str">
        <f>IF(Z11="No","",MIN(100,ROUND((AA11/Settings!$B$7)*Settings!$B$10 + IF(Y11="Yes",Settings!$B$11,0) + IF(E11="",0,E11*Settings!$B$12),0)))</f>
        <v/>
      </c>
      <c r="AJ11" s="4" t="str">
        <f t="shared" si="7"/>
        <v/>
      </c>
      <c r="AK11" s="4"/>
      <c r="AL11" s="4" t="str">
        <f t="shared" si="8"/>
        <v/>
      </c>
      <c r="AM11" s="4" t="str">
        <f t="shared" si="9"/>
        <v/>
      </c>
    </row>
    <row r="12" spans="1:39" x14ac:dyDescent="0.3">
      <c r="A12" s="2">
        <v>46072</v>
      </c>
      <c r="B12" s="3" t="s">
        <v>37</v>
      </c>
      <c r="C12" s="3"/>
      <c r="D12" s="3"/>
      <c r="E12" s="3"/>
      <c r="F12" s="4"/>
      <c r="G12" s="4"/>
      <c r="H12" s="3"/>
      <c r="I12" s="4"/>
      <c r="J12" s="3"/>
      <c r="K12" s="4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 t="str">
        <f t="shared" si="0"/>
        <v>No</v>
      </c>
      <c r="AA12" s="5" t="str">
        <f t="shared" si="1"/>
        <v/>
      </c>
      <c r="AB12" s="6" t="str">
        <f>IF(AA12="","",AA12/Settings!$B$7)</f>
        <v/>
      </c>
      <c r="AC12" s="5" t="str">
        <f t="shared" si="2"/>
        <v/>
      </c>
      <c r="AD12" s="5" t="str">
        <f t="shared" si="3"/>
        <v/>
      </c>
      <c r="AE12" s="3" t="str">
        <f>IF(Z12="No","",IF(AND(AA12&gt;=Settings!$B$4, Y12="Yes"),"Green",IF(AA12&gt;=Settings!$B$5,"Yellow","Grey")))</f>
        <v/>
      </c>
      <c r="AF12" s="5">
        <f t="shared" si="4"/>
        <v>0</v>
      </c>
      <c r="AG12" s="5">
        <f t="shared" si="5"/>
        <v>0</v>
      </c>
      <c r="AH12" s="3" t="str">
        <f t="shared" si="6"/>
        <v/>
      </c>
      <c r="AI12" s="5" t="str">
        <f>IF(Z12="No","",MIN(100,ROUND((AA12/Settings!$B$7)*Settings!$B$10 + IF(Y12="Yes",Settings!$B$11,0) + IF(E12="",0,E12*Settings!$B$12),0)))</f>
        <v/>
      </c>
      <c r="AJ12" s="4" t="str">
        <f t="shared" si="7"/>
        <v/>
      </c>
      <c r="AK12" s="4"/>
      <c r="AL12" s="4" t="str">
        <f t="shared" si="8"/>
        <v/>
      </c>
      <c r="AM12" s="4" t="str">
        <f t="shared" si="9"/>
        <v/>
      </c>
    </row>
    <row r="13" spans="1:39" x14ac:dyDescent="0.3">
      <c r="A13" s="2">
        <v>46073</v>
      </c>
      <c r="B13" s="3" t="s">
        <v>37</v>
      </c>
      <c r="C13" s="3"/>
      <c r="D13" s="3"/>
      <c r="E13" s="3"/>
      <c r="F13" s="4"/>
      <c r="G13" s="4"/>
      <c r="H13" s="3"/>
      <c r="I13" s="4"/>
      <c r="J13" s="3"/>
      <c r="K13" s="4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 t="str">
        <f t="shared" si="0"/>
        <v>No</v>
      </c>
      <c r="AA13" s="5" t="str">
        <f t="shared" si="1"/>
        <v/>
      </c>
      <c r="AB13" s="6" t="str">
        <f>IF(AA13="","",AA13/Settings!$B$7)</f>
        <v/>
      </c>
      <c r="AC13" s="5" t="str">
        <f t="shared" si="2"/>
        <v/>
      </c>
      <c r="AD13" s="5" t="str">
        <f t="shared" si="3"/>
        <v/>
      </c>
      <c r="AE13" s="3" t="str">
        <f>IF(Z13="No","",IF(AND(AA13&gt;=Settings!$B$4, Y13="Yes"),"Green",IF(AA13&gt;=Settings!$B$5,"Yellow","Grey")))</f>
        <v/>
      </c>
      <c r="AF13" s="5">
        <f t="shared" si="4"/>
        <v>0</v>
      </c>
      <c r="AG13" s="5">
        <f t="shared" si="5"/>
        <v>0</v>
      </c>
      <c r="AH13" s="3" t="str">
        <f t="shared" si="6"/>
        <v/>
      </c>
      <c r="AI13" s="5" t="str">
        <f>IF(Z13="No","",MIN(100,ROUND((AA13/Settings!$B$7)*Settings!$B$10 + IF(Y13="Yes",Settings!$B$11,0) + IF(E13="",0,E13*Settings!$B$12),0)))</f>
        <v/>
      </c>
      <c r="AJ13" s="4" t="str">
        <f t="shared" si="7"/>
        <v/>
      </c>
      <c r="AK13" s="4"/>
      <c r="AL13" s="4" t="str">
        <f t="shared" si="8"/>
        <v/>
      </c>
      <c r="AM13" s="4" t="str">
        <f t="shared" si="9"/>
        <v/>
      </c>
    </row>
    <row r="14" spans="1:39" x14ac:dyDescent="0.3">
      <c r="A14" s="2">
        <v>46074</v>
      </c>
      <c r="B14" s="3" t="s">
        <v>38</v>
      </c>
      <c r="C14" s="3"/>
      <c r="D14" s="3"/>
      <c r="E14" s="3"/>
      <c r="F14" s="4"/>
      <c r="G14" s="4"/>
      <c r="H14" s="3"/>
      <c r="I14" s="4"/>
      <c r="J14" s="3"/>
      <c r="K14" s="4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 t="str">
        <f t="shared" si="0"/>
        <v>No</v>
      </c>
      <c r="AA14" s="5" t="str">
        <f t="shared" si="1"/>
        <v/>
      </c>
      <c r="AB14" s="6" t="str">
        <f>IF(AA14="","",AA14/Settings!$B$7)</f>
        <v/>
      </c>
      <c r="AC14" s="5" t="str">
        <f t="shared" si="2"/>
        <v/>
      </c>
      <c r="AD14" s="5" t="str">
        <f t="shared" si="3"/>
        <v/>
      </c>
      <c r="AE14" s="3" t="str">
        <f>IF(Z14="No","",IF(AND(AA14&gt;=Settings!$B$4, Y14="Yes"),"Green",IF(AA14&gt;=Settings!$B$5,"Yellow","Grey")))</f>
        <v/>
      </c>
      <c r="AF14" s="5">
        <f t="shared" si="4"/>
        <v>0</v>
      </c>
      <c r="AG14" s="5">
        <f t="shared" si="5"/>
        <v>0</v>
      </c>
      <c r="AH14" s="3" t="str">
        <f t="shared" si="6"/>
        <v/>
      </c>
      <c r="AI14" s="5" t="str">
        <f>IF(Z14="No","",MIN(100,ROUND((AA14/Settings!$B$7)*Settings!$B$10 + IF(Y14="Yes",Settings!$B$11,0) + IF(E14="",0,E14*Settings!$B$12),0)))</f>
        <v/>
      </c>
      <c r="AJ14" s="4" t="str">
        <f t="shared" si="7"/>
        <v/>
      </c>
      <c r="AK14" s="4"/>
      <c r="AL14" s="4" t="str">
        <f t="shared" si="8"/>
        <v/>
      </c>
      <c r="AM14" s="4" t="str">
        <f t="shared" si="9"/>
        <v/>
      </c>
    </row>
    <row r="15" spans="1:39" x14ac:dyDescent="0.3">
      <c r="A15" s="2">
        <v>46075</v>
      </c>
      <c r="B15" s="3" t="s">
        <v>38</v>
      </c>
      <c r="C15" s="3"/>
      <c r="D15" s="3"/>
      <c r="E15" s="3"/>
      <c r="F15" s="4"/>
      <c r="G15" s="4"/>
      <c r="H15" s="3"/>
      <c r="I15" s="4"/>
      <c r="J15" s="3"/>
      <c r="K15" s="4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 t="str">
        <f t="shared" si="0"/>
        <v>No</v>
      </c>
      <c r="AA15" s="5" t="str">
        <f t="shared" si="1"/>
        <v/>
      </c>
      <c r="AB15" s="6" t="str">
        <f>IF(AA15="","",AA15/Settings!$B$7)</f>
        <v/>
      </c>
      <c r="AC15" s="5" t="str">
        <f t="shared" si="2"/>
        <v/>
      </c>
      <c r="AD15" s="5" t="str">
        <f t="shared" si="3"/>
        <v/>
      </c>
      <c r="AE15" s="3" t="str">
        <f>IF(Z15="No","",IF(AND(AA15&gt;=Settings!$B$4, Y15="Yes"),"Green",IF(AA15&gt;=Settings!$B$5,"Yellow","Grey")))</f>
        <v/>
      </c>
      <c r="AF15" s="5">
        <f t="shared" si="4"/>
        <v>0</v>
      </c>
      <c r="AG15" s="5">
        <f t="shared" si="5"/>
        <v>0</v>
      </c>
      <c r="AH15" s="3" t="str">
        <f t="shared" si="6"/>
        <v/>
      </c>
      <c r="AI15" s="5" t="str">
        <f>IF(Z15="No","",MIN(100,ROUND((AA15/Settings!$B$7)*Settings!$B$10 + IF(Y15="Yes",Settings!$B$11,0) + IF(E15="",0,E15*Settings!$B$12),0)))</f>
        <v/>
      </c>
      <c r="AJ15" s="4" t="str">
        <f t="shared" si="7"/>
        <v/>
      </c>
      <c r="AK15" s="4"/>
      <c r="AL15" s="4" t="str">
        <f t="shared" si="8"/>
        <v/>
      </c>
      <c r="AM15" s="4" t="str">
        <f t="shared" si="9"/>
        <v/>
      </c>
    </row>
    <row r="16" spans="1:39" x14ac:dyDescent="0.3">
      <c r="A16" s="2">
        <v>46076</v>
      </c>
      <c r="B16" s="3" t="s">
        <v>37</v>
      </c>
      <c r="C16" s="3"/>
      <c r="D16" s="3"/>
      <c r="E16" s="3"/>
      <c r="F16" s="4"/>
      <c r="G16" s="4"/>
      <c r="H16" s="3"/>
      <c r="I16" s="4"/>
      <c r="J16" s="3"/>
      <c r="K16" s="4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 t="str">
        <f t="shared" si="0"/>
        <v>No</v>
      </c>
      <c r="AA16" s="5" t="str">
        <f t="shared" si="1"/>
        <v/>
      </c>
      <c r="AB16" s="6" t="str">
        <f>IF(AA16="","",AA16/Settings!$B$7)</f>
        <v/>
      </c>
      <c r="AC16" s="5" t="str">
        <f t="shared" si="2"/>
        <v/>
      </c>
      <c r="AD16" s="5" t="str">
        <f t="shared" si="3"/>
        <v/>
      </c>
      <c r="AE16" s="3" t="str">
        <f>IF(Z16="No","",IF(AND(AA16&gt;=Settings!$B$4, Y16="Yes"),"Green",IF(AA16&gt;=Settings!$B$5,"Yellow","Grey")))</f>
        <v/>
      </c>
      <c r="AF16" s="5">
        <f t="shared" si="4"/>
        <v>0</v>
      </c>
      <c r="AG16" s="5">
        <f t="shared" si="5"/>
        <v>0</v>
      </c>
      <c r="AH16" s="3" t="str">
        <f t="shared" si="6"/>
        <v/>
      </c>
      <c r="AI16" s="5" t="str">
        <f>IF(Z16="No","",MIN(100,ROUND((AA16/Settings!$B$7)*Settings!$B$10 + IF(Y16="Yes",Settings!$B$11,0) + IF(E16="",0,E16*Settings!$B$12),0)))</f>
        <v/>
      </c>
      <c r="AJ16" s="4" t="str">
        <f t="shared" si="7"/>
        <v/>
      </c>
      <c r="AK16" s="4"/>
      <c r="AL16" s="4" t="str">
        <f t="shared" si="8"/>
        <v/>
      </c>
      <c r="AM16" s="4" t="str">
        <f t="shared" si="9"/>
        <v/>
      </c>
    </row>
    <row r="17" spans="1:39" x14ac:dyDescent="0.3">
      <c r="A17" s="2">
        <v>46077</v>
      </c>
      <c r="B17" s="3" t="s">
        <v>37</v>
      </c>
      <c r="C17" s="3"/>
      <c r="D17" s="3"/>
      <c r="E17" s="3"/>
      <c r="F17" s="4"/>
      <c r="G17" s="4"/>
      <c r="H17" s="3"/>
      <c r="I17" s="4"/>
      <c r="J17" s="3"/>
      <c r="K17" s="4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 t="str">
        <f t="shared" si="0"/>
        <v>No</v>
      </c>
      <c r="AA17" s="5" t="str">
        <f t="shared" si="1"/>
        <v/>
      </c>
      <c r="AB17" s="6" t="str">
        <f>IF(AA17="","",AA17/Settings!$B$7)</f>
        <v/>
      </c>
      <c r="AC17" s="5" t="str">
        <f t="shared" si="2"/>
        <v/>
      </c>
      <c r="AD17" s="5" t="str">
        <f t="shared" si="3"/>
        <v/>
      </c>
      <c r="AE17" s="3" t="str">
        <f>IF(Z17="No","",IF(AND(AA17&gt;=Settings!$B$4, Y17="Yes"),"Green",IF(AA17&gt;=Settings!$B$5,"Yellow","Grey")))</f>
        <v/>
      </c>
      <c r="AF17" s="5">
        <f t="shared" si="4"/>
        <v>0</v>
      </c>
      <c r="AG17" s="5">
        <f t="shared" si="5"/>
        <v>0</v>
      </c>
      <c r="AH17" s="3" t="str">
        <f t="shared" si="6"/>
        <v/>
      </c>
      <c r="AI17" s="5" t="str">
        <f>IF(Z17="No","",MIN(100,ROUND((AA17/Settings!$B$7)*Settings!$B$10 + IF(Y17="Yes",Settings!$B$11,0) + IF(E17="",0,E17*Settings!$B$12),0)))</f>
        <v/>
      </c>
      <c r="AJ17" s="4" t="str">
        <f t="shared" si="7"/>
        <v/>
      </c>
      <c r="AK17" s="4"/>
      <c r="AL17" s="4" t="str">
        <f t="shared" si="8"/>
        <v/>
      </c>
      <c r="AM17" s="4" t="str">
        <f t="shared" si="9"/>
        <v/>
      </c>
    </row>
    <row r="18" spans="1:39" x14ac:dyDescent="0.3">
      <c r="A18" s="2">
        <v>46078</v>
      </c>
      <c r="B18" s="3" t="s">
        <v>37</v>
      </c>
      <c r="C18" s="3"/>
      <c r="D18" s="3"/>
      <c r="E18" s="3"/>
      <c r="F18" s="4"/>
      <c r="G18" s="4"/>
      <c r="H18" s="3"/>
      <c r="I18" s="4"/>
      <c r="J18" s="3"/>
      <c r="K18" s="4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 t="str">
        <f t="shared" si="0"/>
        <v>No</v>
      </c>
      <c r="AA18" s="5" t="str">
        <f t="shared" si="1"/>
        <v/>
      </c>
      <c r="AB18" s="6" t="str">
        <f>IF(AA18="","",AA18/Settings!$B$7)</f>
        <v/>
      </c>
      <c r="AC18" s="5" t="str">
        <f t="shared" si="2"/>
        <v/>
      </c>
      <c r="AD18" s="5" t="str">
        <f t="shared" si="3"/>
        <v/>
      </c>
      <c r="AE18" s="3" t="str">
        <f>IF(Z18="No","",IF(AND(AA18&gt;=Settings!$B$4, Y18="Yes"),"Green",IF(AA18&gt;=Settings!$B$5,"Yellow","Grey")))</f>
        <v/>
      </c>
      <c r="AF18" s="5">
        <f t="shared" si="4"/>
        <v>0</v>
      </c>
      <c r="AG18" s="5">
        <f t="shared" si="5"/>
        <v>0</v>
      </c>
      <c r="AH18" s="3" t="str">
        <f t="shared" si="6"/>
        <v/>
      </c>
      <c r="AI18" s="5" t="str">
        <f>IF(Z18="No","",MIN(100,ROUND((AA18/Settings!$B$7)*Settings!$B$10 + IF(Y18="Yes",Settings!$B$11,0) + IF(E18="",0,E18*Settings!$B$12),0)))</f>
        <v/>
      </c>
      <c r="AJ18" s="4" t="str">
        <f t="shared" si="7"/>
        <v/>
      </c>
      <c r="AK18" s="4"/>
      <c r="AL18" s="4" t="str">
        <f t="shared" si="8"/>
        <v/>
      </c>
      <c r="AM18" s="4" t="str">
        <f t="shared" si="9"/>
        <v/>
      </c>
    </row>
    <row r="19" spans="1:39" x14ac:dyDescent="0.3">
      <c r="A19" s="2">
        <v>46079</v>
      </c>
      <c r="B19" s="3" t="s">
        <v>37</v>
      </c>
      <c r="C19" s="3"/>
      <c r="D19" s="3"/>
      <c r="E19" s="3"/>
      <c r="F19" s="4"/>
      <c r="G19" s="4"/>
      <c r="H19" s="3"/>
      <c r="I19" s="4"/>
      <c r="J19" s="3"/>
      <c r="K19" s="4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 t="str">
        <f t="shared" si="0"/>
        <v>No</v>
      </c>
      <c r="AA19" s="5" t="str">
        <f t="shared" si="1"/>
        <v/>
      </c>
      <c r="AB19" s="6" t="str">
        <f>IF(AA19="","",AA19/Settings!$B$7)</f>
        <v/>
      </c>
      <c r="AC19" s="5" t="str">
        <f t="shared" si="2"/>
        <v/>
      </c>
      <c r="AD19" s="5" t="str">
        <f t="shared" si="3"/>
        <v/>
      </c>
      <c r="AE19" s="3" t="str">
        <f>IF(Z19="No","",IF(AND(AA19&gt;=Settings!$B$4, Y19="Yes"),"Green",IF(AA19&gt;=Settings!$B$5,"Yellow","Grey")))</f>
        <v/>
      </c>
      <c r="AF19" s="5">
        <f t="shared" si="4"/>
        <v>0</v>
      </c>
      <c r="AG19" s="5">
        <f t="shared" si="5"/>
        <v>0</v>
      </c>
      <c r="AH19" s="3" t="str">
        <f t="shared" si="6"/>
        <v/>
      </c>
      <c r="AI19" s="5" t="str">
        <f>IF(Z19="No","",MIN(100,ROUND((AA19/Settings!$B$7)*Settings!$B$10 + IF(Y19="Yes",Settings!$B$11,0) + IF(E19="",0,E19*Settings!$B$12),0)))</f>
        <v/>
      </c>
      <c r="AJ19" s="4" t="str">
        <f t="shared" si="7"/>
        <v/>
      </c>
      <c r="AK19" s="4"/>
      <c r="AL19" s="4" t="str">
        <f t="shared" si="8"/>
        <v/>
      </c>
      <c r="AM19" s="4" t="str">
        <f t="shared" si="9"/>
        <v/>
      </c>
    </row>
    <row r="20" spans="1:39" x14ac:dyDescent="0.3">
      <c r="A20" s="2">
        <v>46080</v>
      </c>
      <c r="B20" s="3" t="s">
        <v>37</v>
      </c>
      <c r="C20" s="3"/>
      <c r="D20" s="3"/>
      <c r="E20" s="3"/>
      <c r="F20" s="4"/>
      <c r="G20" s="4"/>
      <c r="H20" s="3"/>
      <c r="I20" s="4"/>
      <c r="J20" s="3"/>
      <c r="K20" s="4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 t="str">
        <f t="shared" si="0"/>
        <v>No</v>
      </c>
      <c r="AA20" s="5" t="str">
        <f t="shared" si="1"/>
        <v/>
      </c>
      <c r="AB20" s="6" t="str">
        <f>IF(AA20="","",AA20/Settings!$B$7)</f>
        <v/>
      </c>
      <c r="AC20" s="5" t="str">
        <f t="shared" si="2"/>
        <v/>
      </c>
      <c r="AD20" s="5" t="str">
        <f t="shared" si="3"/>
        <v/>
      </c>
      <c r="AE20" s="3" t="str">
        <f>IF(Z20="No","",IF(AND(AA20&gt;=Settings!$B$4, Y20="Yes"),"Green",IF(AA20&gt;=Settings!$B$5,"Yellow","Grey")))</f>
        <v/>
      </c>
      <c r="AF20" s="5">
        <f t="shared" si="4"/>
        <v>0</v>
      </c>
      <c r="AG20" s="5">
        <f t="shared" si="5"/>
        <v>0</v>
      </c>
      <c r="AH20" s="3" t="str">
        <f t="shared" si="6"/>
        <v/>
      </c>
      <c r="AI20" s="5" t="str">
        <f>IF(Z20="No","",MIN(100,ROUND((AA20/Settings!$B$7)*Settings!$B$10 + IF(Y20="Yes",Settings!$B$11,0) + IF(E20="",0,E20*Settings!$B$12),0)))</f>
        <v/>
      </c>
      <c r="AJ20" s="4" t="str">
        <f t="shared" si="7"/>
        <v/>
      </c>
      <c r="AK20" s="4"/>
      <c r="AL20" s="4" t="str">
        <f t="shared" si="8"/>
        <v/>
      </c>
      <c r="AM20" s="4" t="str">
        <f t="shared" si="9"/>
        <v/>
      </c>
    </row>
    <row r="21" spans="1:39" x14ac:dyDescent="0.3">
      <c r="A21" s="2">
        <v>46081</v>
      </c>
      <c r="B21" s="3" t="s">
        <v>38</v>
      </c>
      <c r="C21" s="3"/>
      <c r="D21" s="3"/>
      <c r="E21" s="3"/>
      <c r="F21" s="4"/>
      <c r="G21" s="4"/>
      <c r="H21" s="3"/>
      <c r="I21" s="4"/>
      <c r="J21" s="3"/>
      <c r="K21" s="4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 t="str">
        <f t="shared" si="0"/>
        <v>No</v>
      </c>
      <c r="AA21" s="5" t="str">
        <f t="shared" si="1"/>
        <v/>
      </c>
      <c r="AB21" s="6" t="str">
        <f>IF(AA21="","",AA21/Settings!$B$7)</f>
        <v/>
      </c>
      <c r="AC21" s="5" t="str">
        <f t="shared" si="2"/>
        <v/>
      </c>
      <c r="AD21" s="5" t="str">
        <f t="shared" si="3"/>
        <v/>
      </c>
      <c r="AE21" s="3" t="str">
        <f>IF(Z21="No","",IF(AND(AA21&gt;=Settings!$B$4, Y21="Yes"),"Green",IF(AA21&gt;=Settings!$B$5,"Yellow","Grey")))</f>
        <v/>
      </c>
      <c r="AF21" s="5">
        <f t="shared" si="4"/>
        <v>0</v>
      </c>
      <c r="AG21" s="5">
        <f t="shared" si="5"/>
        <v>0</v>
      </c>
      <c r="AH21" s="3" t="str">
        <f t="shared" si="6"/>
        <v/>
      </c>
      <c r="AI21" s="5" t="str">
        <f>IF(Z21="No","",MIN(100,ROUND((AA21/Settings!$B$7)*Settings!$B$10 + IF(Y21="Yes",Settings!$B$11,0) + IF(E21="",0,E21*Settings!$B$12),0)))</f>
        <v/>
      </c>
      <c r="AJ21" s="4" t="str">
        <f t="shared" si="7"/>
        <v/>
      </c>
      <c r="AK21" s="4"/>
      <c r="AL21" s="4" t="str">
        <f t="shared" si="8"/>
        <v/>
      </c>
      <c r="AM21" s="4" t="str">
        <f t="shared" si="9"/>
        <v/>
      </c>
    </row>
    <row r="22" spans="1:39" x14ac:dyDescent="0.3">
      <c r="A22" s="2">
        <v>46082</v>
      </c>
      <c r="B22" s="3" t="s">
        <v>38</v>
      </c>
      <c r="C22" s="3"/>
      <c r="D22" s="3"/>
      <c r="E22" s="3"/>
      <c r="F22" s="4"/>
      <c r="G22" s="4"/>
      <c r="H22" s="3"/>
      <c r="I22" s="4"/>
      <c r="J22" s="3"/>
      <c r="K22" s="4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 t="str">
        <f t="shared" si="0"/>
        <v>No</v>
      </c>
      <c r="AA22" s="5" t="str">
        <f t="shared" si="1"/>
        <v/>
      </c>
      <c r="AB22" s="6" t="str">
        <f>IF(AA22="","",AA22/Settings!$B$7)</f>
        <v/>
      </c>
      <c r="AC22" s="5" t="str">
        <f t="shared" si="2"/>
        <v/>
      </c>
      <c r="AD22" s="5" t="str">
        <f t="shared" si="3"/>
        <v/>
      </c>
      <c r="AE22" s="3" t="str">
        <f>IF(Z22="No","",IF(AND(AA22&gt;=Settings!$B$4, Y22="Yes"),"Green",IF(AA22&gt;=Settings!$B$5,"Yellow","Grey")))</f>
        <v/>
      </c>
      <c r="AF22" s="5">
        <f t="shared" si="4"/>
        <v>0</v>
      </c>
      <c r="AG22" s="5">
        <f t="shared" si="5"/>
        <v>0</v>
      </c>
      <c r="AH22" s="3" t="str">
        <f t="shared" si="6"/>
        <v/>
      </c>
      <c r="AI22" s="5" t="str">
        <f>IF(Z22="No","",MIN(100,ROUND((AA22/Settings!$B$7)*Settings!$B$10 + IF(Y22="Yes",Settings!$B$11,0) + IF(E22="",0,E22*Settings!$B$12),0)))</f>
        <v/>
      </c>
      <c r="AJ22" s="4" t="str">
        <f t="shared" si="7"/>
        <v/>
      </c>
      <c r="AK22" s="4"/>
      <c r="AL22" s="4" t="str">
        <f t="shared" si="8"/>
        <v/>
      </c>
      <c r="AM22" s="4" t="str">
        <f t="shared" si="9"/>
        <v/>
      </c>
    </row>
    <row r="23" spans="1:39" x14ac:dyDescent="0.3">
      <c r="A23" s="2">
        <v>46083</v>
      </c>
      <c r="B23" s="3" t="s">
        <v>37</v>
      </c>
      <c r="C23" s="3"/>
      <c r="D23" s="3"/>
      <c r="E23" s="3"/>
      <c r="F23" s="4"/>
      <c r="G23" s="4"/>
      <c r="H23" s="3"/>
      <c r="I23" s="4"/>
      <c r="J23" s="3"/>
      <c r="K23" s="4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 t="str">
        <f t="shared" si="0"/>
        <v>No</v>
      </c>
      <c r="AA23" s="5" t="str">
        <f t="shared" si="1"/>
        <v/>
      </c>
      <c r="AB23" s="6" t="str">
        <f>IF(AA23="","",AA23/Settings!$B$7)</f>
        <v/>
      </c>
      <c r="AC23" s="5" t="str">
        <f t="shared" si="2"/>
        <v/>
      </c>
      <c r="AD23" s="5" t="str">
        <f t="shared" si="3"/>
        <v/>
      </c>
      <c r="AE23" s="3" t="str">
        <f>IF(Z23="No","",IF(AND(AA23&gt;=Settings!$B$4, Y23="Yes"),"Green",IF(AA23&gt;=Settings!$B$5,"Yellow","Grey")))</f>
        <v/>
      </c>
      <c r="AF23" s="5">
        <f t="shared" si="4"/>
        <v>0</v>
      </c>
      <c r="AG23" s="5">
        <f t="shared" si="5"/>
        <v>0</v>
      </c>
      <c r="AH23" s="3" t="str">
        <f t="shared" si="6"/>
        <v/>
      </c>
      <c r="AI23" s="5" t="str">
        <f>IF(Z23="No","",MIN(100,ROUND((AA23/Settings!$B$7)*Settings!$B$10 + IF(Y23="Yes",Settings!$B$11,0) + IF(E23="",0,E23*Settings!$B$12),0)))</f>
        <v/>
      </c>
      <c r="AJ23" s="4" t="str">
        <f t="shared" si="7"/>
        <v/>
      </c>
      <c r="AK23" s="4"/>
      <c r="AL23" s="4" t="str">
        <f t="shared" si="8"/>
        <v/>
      </c>
      <c r="AM23" s="4" t="str">
        <f t="shared" si="9"/>
        <v/>
      </c>
    </row>
    <row r="24" spans="1:39" x14ac:dyDescent="0.3">
      <c r="A24" s="2">
        <v>46084</v>
      </c>
      <c r="B24" s="3" t="s">
        <v>37</v>
      </c>
      <c r="C24" s="3"/>
      <c r="D24" s="3"/>
      <c r="E24" s="3"/>
      <c r="F24" s="4"/>
      <c r="G24" s="4"/>
      <c r="H24" s="3"/>
      <c r="I24" s="4"/>
      <c r="J24" s="3"/>
      <c r="K24" s="4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 t="str">
        <f t="shared" si="0"/>
        <v>No</v>
      </c>
      <c r="AA24" s="5" t="str">
        <f t="shared" si="1"/>
        <v/>
      </c>
      <c r="AB24" s="6" t="str">
        <f>IF(AA24="","",AA24/Settings!$B$7)</f>
        <v/>
      </c>
      <c r="AC24" s="5" t="str">
        <f t="shared" si="2"/>
        <v/>
      </c>
      <c r="AD24" s="5" t="str">
        <f t="shared" si="3"/>
        <v/>
      </c>
      <c r="AE24" s="3" t="str">
        <f>IF(Z24="No","",IF(AND(AA24&gt;=Settings!$B$4, Y24="Yes"),"Green",IF(AA24&gt;=Settings!$B$5,"Yellow","Grey")))</f>
        <v/>
      </c>
      <c r="AF24" s="5">
        <f t="shared" si="4"/>
        <v>0</v>
      </c>
      <c r="AG24" s="5">
        <f t="shared" si="5"/>
        <v>0</v>
      </c>
      <c r="AH24" s="3" t="str">
        <f t="shared" si="6"/>
        <v/>
      </c>
      <c r="AI24" s="5" t="str">
        <f>IF(Z24="No","",MIN(100,ROUND((AA24/Settings!$B$7)*Settings!$B$10 + IF(Y24="Yes",Settings!$B$11,0) + IF(E24="",0,E24*Settings!$B$12),0)))</f>
        <v/>
      </c>
      <c r="AJ24" s="4" t="str">
        <f t="shared" si="7"/>
        <v/>
      </c>
      <c r="AK24" s="4"/>
      <c r="AL24" s="4" t="str">
        <f t="shared" si="8"/>
        <v/>
      </c>
      <c r="AM24" s="4" t="str">
        <f t="shared" si="9"/>
        <v/>
      </c>
    </row>
    <row r="25" spans="1:39" x14ac:dyDescent="0.3">
      <c r="A25" s="2">
        <v>46085</v>
      </c>
      <c r="B25" s="3" t="s">
        <v>37</v>
      </c>
      <c r="C25" s="3"/>
      <c r="D25" s="3"/>
      <c r="E25" s="3"/>
      <c r="F25" s="4"/>
      <c r="G25" s="4"/>
      <c r="H25" s="3"/>
      <c r="I25" s="4"/>
      <c r="J25" s="3"/>
      <c r="K25" s="4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 t="str">
        <f t="shared" si="0"/>
        <v>No</v>
      </c>
      <c r="AA25" s="5" t="str">
        <f t="shared" si="1"/>
        <v/>
      </c>
      <c r="AB25" s="6" t="str">
        <f>IF(AA25="","",AA25/Settings!$B$7)</f>
        <v/>
      </c>
      <c r="AC25" s="5" t="str">
        <f t="shared" si="2"/>
        <v/>
      </c>
      <c r="AD25" s="5" t="str">
        <f t="shared" si="3"/>
        <v/>
      </c>
      <c r="AE25" s="3" t="str">
        <f>IF(Z25="No","",IF(AND(AA25&gt;=Settings!$B$4, Y25="Yes"),"Green",IF(AA25&gt;=Settings!$B$5,"Yellow","Grey")))</f>
        <v/>
      </c>
      <c r="AF25" s="5">
        <f t="shared" si="4"/>
        <v>0</v>
      </c>
      <c r="AG25" s="5">
        <f t="shared" si="5"/>
        <v>0</v>
      </c>
      <c r="AH25" s="3" t="str">
        <f t="shared" si="6"/>
        <v/>
      </c>
      <c r="AI25" s="5" t="str">
        <f>IF(Z25="No","",MIN(100,ROUND((AA25/Settings!$B$7)*Settings!$B$10 + IF(Y25="Yes",Settings!$B$11,0) + IF(E25="",0,E25*Settings!$B$12),0)))</f>
        <v/>
      </c>
      <c r="AJ25" s="4" t="str">
        <f t="shared" si="7"/>
        <v/>
      </c>
      <c r="AK25" s="4"/>
      <c r="AL25" s="4" t="str">
        <f t="shared" si="8"/>
        <v/>
      </c>
      <c r="AM25" s="4" t="str">
        <f t="shared" si="9"/>
        <v/>
      </c>
    </row>
    <row r="26" spans="1:39" x14ac:dyDescent="0.3">
      <c r="A26" s="2">
        <v>46086</v>
      </c>
      <c r="B26" s="3" t="s">
        <v>37</v>
      </c>
      <c r="C26" s="3"/>
      <c r="D26" s="3"/>
      <c r="E26" s="3"/>
      <c r="F26" s="4"/>
      <c r="G26" s="4"/>
      <c r="H26" s="3"/>
      <c r="I26" s="4"/>
      <c r="J26" s="3"/>
      <c r="K26" s="4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 t="str">
        <f t="shared" si="0"/>
        <v>No</v>
      </c>
      <c r="AA26" s="5" t="str">
        <f t="shared" si="1"/>
        <v/>
      </c>
      <c r="AB26" s="6" t="str">
        <f>IF(AA26="","",AA26/Settings!$B$7)</f>
        <v/>
      </c>
      <c r="AC26" s="5" t="str">
        <f t="shared" si="2"/>
        <v/>
      </c>
      <c r="AD26" s="5" t="str">
        <f t="shared" si="3"/>
        <v/>
      </c>
      <c r="AE26" s="3" t="str">
        <f>IF(Z26="No","",IF(AND(AA26&gt;=Settings!$B$4, Y26="Yes"),"Green",IF(AA26&gt;=Settings!$B$5,"Yellow","Grey")))</f>
        <v/>
      </c>
      <c r="AF26" s="5">
        <f t="shared" si="4"/>
        <v>0</v>
      </c>
      <c r="AG26" s="5">
        <f t="shared" si="5"/>
        <v>0</v>
      </c>
      <c r="AH26" s="3" t="str">
        <f t="shared" si="6"/>
        <v/>
      </c>
      <c r="AI26" s="5" t="str">
        <f>IF(Z26="No","",MIN(100,ROUND((AA26/Settings!$B$7)*Settings!$B$10 + IF(Y26="Yes",Settings!$B$11,0) + IF(E26="",0,E26*Settings!$B$12),0)))</f>
        <v/>
      </c>
      <c r="AJ26" s="4" t="str">
        <f t="shared" si="7"/>
        <v/>
      </c>
      <c r="AK26" s="4"/>
      <c r="AL26" s="4" t="str">
        <f t="shared" si="8"/>
        <v/>
      </c>
      <c r="AM26" s="4" t="str">
        <f t="shared" si="9"/>
        <v/>
      </c>
    </row>
    <row r="27" spans="1:39" x14ac:dyDescent="0.3">
      <c r="A27" s="2">
        <v>46087</v>
      </c>
      <c r="B27" s="3" t="s">
        <v>37</v>
      </c>
      <c r="C27" s="3"/>
      <c r="D27" s="3"/>
      <c r="E27" s="3"/>
      <c r="F27" s="4"/>
      <c r="G27" s="4"/>
      <c r="H27" s="3"/>
      <c r="I27" s="4"/>
      <c r="J27" s="3"/>
      <c r="K27" s="4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 t="str">
        <f t="shared" si="0"/>
        <v>No</v>
      </c>
      <c r="AA27" s="5" t="str">
        <f t="shared" si="1"/>
        <v/>
      </c>
      <c r="AB27" s="6" t="str">
        <f>IF(AA27="","",AA27/Settings!$B$7)</f>
        <v/>
      </c>
      <c r="AC27" s="5" t="str">
        <f t="shared" si="2"/>
        <v/>
      </c>
      <c r="AD27" s="5" t="str">
        <f t="shared" si="3"/>
        <v/>
      </c>
      <c r="AE27" s="3" t="str">
        <f>IF(Z27="No","",IF(AND(AA27&gt;=Settings!$B$4, Y27="Yes"),"Green",IF(AA27&gt;=Settings!$B$5,"Yellow","Grey")))</f>
        <v/>
      </c>
      <c r="AF27" s="5">
        <f t="shared" si="4"/>
        <v>0</v>
      </c>
      <c r="AG27" s="5">
        <f t="shared" si="5"/>
        <v>0</v>
      </c>
      <c r="AH27" s="3" t="str">
        <f t="shared" si="6"/>
        <v/>
      </c>
      <c r="AI27" s="5" t="str">
        <f>IF(Z27="No","",MIN(100,ROUND((AA27/Settings!$B$7)*Settings!$B$10 + IF(Y27="Yes",Settings!$B$11,0) + IF(E27="",0,E27*Settings!$B$12),0)))</f>
        <v/>
      </c>
      <c r="AJ27" s="4" t="str">
        <f t="shared" si="7"/>
        <v/>
      </c>
      <c r="AK27" s="4"/>
      <c r="AL27" s="4" t="str">
        <f t="shared" si="8"/>
        <v/>
      </c>
      <c r="AM27" s="4" t="str">
        <f t="shared" si="9"/>
        <v/>
      </c>
    </row>
    <row r="28" spans="1:39" x14ac:dyDescent="0.3">
      <c r="A28" s="2">
        <v>46088</v>
      </c>
      <c r="B28" s="3" t="s">
        <v>38</v>
      </c>
      <c r="C28" s="3"/>
      <c r="D28" s="3"/>
      <c r="E28" s="3"/>
      <c r="F28" s="4"/>
      <c r="G28" s="4"/>
      <c r="H28" s="3"/>
      <c r="I28" s="4"/>
      <c r="J28" s="3"/>
      <c r="K28" s="4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 t="str">
        <f t="shared" si="0"/>
        <v>No</v>
      </c>
      <c r="AA28" s="5" t="str">
        <f t="shared" si="1"/>
        <v/>
      </c>
      <c r="AB28" s="6" t="str">
        <f>IF(AA28="","",AA28/Settings!$B$7)</f>
        <v/>
      </c>
      <c r="AC28" s="5" t="str">
        <f t="shared" si="2"/>
        <v/>
      </c>
      <c r="AD28" s="5" t="str">
        <f t="shared" si="3"/>
        <v/>
      </c>
      <c r="AE28" s="3" t="str">
        <f>IF(Z28="No","",IF(AND(AA28&gt;=Settings!$B$4, Y28="Yes"),"Green",IF(AA28&gt;=Settings!$B$5,"Yellow","Grey")))</f>
        <v/>
      </c>
      <c r="AF28" s="5">
        <f t="shared" si="4"/>
        <v>0</v>
      </c>
      <c r="AG28" s="5">
        <f t="shared" si="5"/>
        <v>0</v>
      </c>
      <c r="AH28" s="3" t="str">
        <f t="shared" si="6"/>
        <v/>
      </c>
      <c r="AI28" s="5" t="str">
        <f>IF(Z28="No","",MIN(100,ROUND((AA28/Settings!$B$7)*Settings!$B$10 + IF(Y28="Yes",Settings!$B$11,0) + IF(E28="",0,E28*Settings!$B$12),0)))</f>
        <v/>
      </c>
      <c r="AJ28" s="4" t="str">
        <f t="shared" si="7"/>
        <v/>
      </c>
      <c r="AK28" s="4"/>
      <c r="AL28" s="4" t="str">
        <f t="shared" si="8"/>
        <v/>
      </c>
      <c r="AM28" s="4" t="str">
        <f t="shared" si="9"/>
        <v/>
      </c>
    </row>
    <row r="29" spans="1:39" x14ac:dyDescent="0.3">
      <c r="A29" s="2">
        <v>46089</v>
      </c>
      <c r="B29" s="3" t="s">
        <v>38</v>
      </c>
      <c r="C29" s="3"/>
      <c r="D29" s="3"/>
      <c r="E29" s="3"/>
      <c r="F29" s="4"/>
      <c r="G29" s="4"/>
      <c r="H29" s="3"/>
      <c r="I29" s="4"/>
      <c r="J29" s="3"/>
      <c r="K29" s="4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 t="str">
        <f t="shared" si="0"/>
        <v>No</v>
      </c>
      <c r="AA29" s="5" t="str">
        <f t="shared" si="1"/>
        <v/>
      </c>
      <c r="AB29" s="6" t="str">
        <f>IF(AA29="","",AA29/Settings!$B$7)</f>
        <v/>
      </c>
      <c r="AC29" s="5" t="str">
        <f t="shared" si="2"/>
        <v/>
      </c>
      <c r="AD29" s="5" t="str">
        <f t="shared" si="3"/>
        <v/>
      </c>
      <c r="AE29" s="3" t="str">
        <f>IF(Z29="No","",IF(AND(AA29&gt;=Settings!$B$4, Y29="Yes"),"Green",IF(AA29&gt;=Settings!$B$5,"Yellow","Grey")))</f>
        <v/>
      </c>
      <c r="AF29" s="5">
        <f t="shared" si="4"/>
        <v>0</v>
      </c>
      <c r="AG29" s="5">
        <f t="shared" si="5"/>
        <v>0</v>
      </c>
      <c r="AH29" s="3" t="str">
        <f t="shared" si="6"/>
        <v/>
      </c>
      <c r="AI29" s="5" t="str">
        <f>IF(Z29="No","",MIN(100,ROUND((AA29/Settings!$B$7)*Settings!$B$10 + IF(Y29="Yes",Settings!$B$11,0) + IF(E29="",0,E29*Settings!$B$12),0)))</f>
        <v/>
      </c>
      <c r="AJ29" s="4" t="str">
        <f t="shared" si="7"/>
        <v/>
      </c>
      <c r="AK29" s="4"/>
      <c r="AL29" s="4" t="str">
        <f t="shared" si="8"/>
        <v/>
      </c>
      <c r="AM29" s="4" t="str">
        <f t="shared" si="9"/>
        <v/>
      </c>
    </row>
    <row r="30" spans="1:39" x14ac:dyDescent="0.3">
      <c r="A30" s="2">
        <v>46090</v>
      </c>
      <c r="B30" s="3" t="s">
        <v>37</v>
      </c>
      <c r="C30" s="3"/>
      <c r="D30" s="3"/>
      <c r="E30" s="3"/>
      <c r="F30" s="4"/>
      <c r="G30" s="4"/>
      <c r="H30" s="3"/>
      <c r="I30" s="4"/>
      <c r="J30" s="3"/>
      <c r="K30" s="4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 t="str">
        <f t="shared" si="0"/>
        <v>No</v>
      </c>
      <c r="AA30" s="5" t="str">
        <f t="shared" si="1"/>
        <v/>
      </c>
      <c r="AB30" s="6" t="str">
        <f>IF(AA30="","",AA30/Settings!$B$7)</f>
        <v/>
      </c>
      <c r="AC30" s="5" t="str">
        <f t="shared" si="2"/>
        <v/>
      </c>
      <c r="AD30" s="5" t="str">
        <f t="shared" si="3"/>
        <v/>
      </c>
      <c r="AE30" s="3" t="str">
        <f>IF(Z30="No","",IF(AND(AA30&gt;=Settings!$B$4, Y30="Yes"),"Green",IF(AA30&gt;=Settings!$B$5,"Yellow","Grey")))</f>
        <v/>
      </c>
      <c r="AF30" s="5">
        <f t="shared" si="4"/>
        <v>0</v>
      </c>
      <c r="AG30" s="5">
        <f t="shared" si="5"/>
        <v>0</v>
      </c>
      <c r="AH30" s="3" t="str">
        <f t="shared" si="6"/>
        <v/>
      </c>
      <c r="AI30" s="5" t="str">
        <f>IF(Z30="No","",MIN(100,ROUND((AA30/Settings!$B$7)*Settings!$B$10 + IF(Y30="Yes",Settings!$B$11,0) + IF(E30="",0,E30*Settings!$B$12),0)))</f>
        <v/>
      </c>
      <c r="AJ30" s="4" t="str">
        <f t="shared" si="7"/>
        <v/>
      </c>
      <c r="AK30" s="4"/>
      <c r="AL30" s="4" t="str">
        <f t="shared" si="8"/>
        <v/>
      </c>
      <c r="AM30" s="4" t="str">
        <f t="shared" si="9"/>
        <v/>
      </c>
    </row>
    <row r="31" spans="1:39" x14ac:dyDescent="0.3">
      <c r="A31" s="2">
        <v>46091</v>
      </c>
      <c r="B31" s="3" t="s">
        <v>37</v>
      </c>
      <c r="C31" s="3"/>
      <c r="D31" s="3"/>
      <c r="E31" s="3"/>
      <c r="F31" s="4"/>
      <c r="G31" s="4"/>
      <c r="H31" s="3"/>
      <c r="I31" s="4"/>
      <c r="J31" s="3"/>
      <c r="K31" s="4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 t="str">
        <f t="shared" si="0"/>
        <v>No</v>
      </c>
      <c r="AA31" s="5" t="str">
        <f t="shared" si="1"/>
        <v/>
      </c>
      <c r="AB31" s="6" t="str">
        <f>IF(AA31="","",AA31/Settings!$B$7)</f>
        <v/>
      </c>
      <c r="AC31" s="5" t="str">
        <f t="shared" si="2"/>
        <v/>
      </c>
      <c r="AD31" s="5" t="str">
        <f t="shared" si="3"/>
        <v/>
      </c>
      <c r="AE31" s="3" t="str">
        <f>IF(Z31="No","",IF(AND(AA31&gt;=Settings!$B$4, Y31="Yes"),"Green",IF(AA31&gt;=Settings!$B$5,"Yellow","Grey")))</f>
        <v/>
      </c>
      <c r="AF31" s="5">
        <f t="shared" si="4"/>
        <v>0</v>
      </c>
      <c r="AG31" s="5">
        <f t="shared" si="5"/>
        <v>0</v>
      </c>
      <c r="AH31" s="3" t="str">
        <f t="shared" si="6"/>
        <v/>
      </c>
      <c r="AI31" s="5" t="str">
        <f>IF(Z31="No","",MIN(100,ROUND((AA31/Settings!$B$7)*Settings!$B$10 + IF(Y31="Yes",Settings!$B$11,0) + IF(E31="",0,E31*Settings!$B$12),0)))</f>
        <v/>
      </c>
      <c r="AJ31" s="4" t="str">
        <f t="shared" si="7"/>
        <v/>
      </c>
      <c r="AK31" s="4"/>
      <c r="AL31" s="4" t="str">
        <f t="shared" si="8"/>
        <v/>
      </c>
      <c r="AM31" s="4" t="str">
        <f t="shared" si="9"/>
        <v/>
      </c>
    </row>
    <row r="32" spans="1:39" x14ac:dyDescent="0.3">
      <c r="A32" s="2">
        <v>46092</v>
      </c>
      <c r="B32" s="3" t="s">
        <v>37</v>
      </c>
      <c r="C32" s="3"/>
      <c r="D32" s="3"/>
      <c r="E32" s="3"/>
      <c r="F32" s="4"/>
      <c r="G32" s="4"/>
      <c r="H32" s="3"/>
      <c r="I32" s="4"/>
      <c r="J32" s="3"/>
      <c r="K32" s="4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 t="str">
        <f t="shared" si="0"/>
        <v>No</v>
      </c>
      <c r="AA32" s="5" t="str">
        <f t="shared" si="1"/>
        <v/>
      </c>
      <c r="AB32" s="6" t="str">
        <f>IF(AA32="","",AA32/Settings!$B$7)</f>
        <v/>
      </c>
      <c r="AC32" s="5" t="str">
        <f t="shared" si="2"/>
        <v/>
      </c>
      <c r="AD32" s="5" t="str">
        <f t="shared" si="3"/>
        <v/>
      </c>
      <c r="AE32" s="3" t="str">
        <f>IF(Z32="No","",IF(AND(AA32&gt;=Settings!$B$4, Y32="Yes"),"Green",IF(AA32&gt;=Settings!$B$5,"Yellow","Grey")))</f>
        <v/>
      </c>
      <c r="AF32" s="5">
        <f t="shared" si="4"/>
        <v>0</v>
      </c>
      <c r="AG32" s="5">
        <f t="shared" si="5"/>
        <v>0</v>
      </c>
      <c r="AH32" s="3" t="str">
        <f t="shared" si="6"/>
        <v/>
      </c>
      <c r="AI32" s="5" t="str">
        <f>IF(Z32="No","",MIN(100,ROUND((AA32/Settings!$B$7)*Settings!$B$10 + IF(Y32="Yes",Settings!$B$11,0) + IF(E32="",0,E32*Settings!$B$12),0)))</f>
        <v/>
      </c>
      <c r="AJ32" s="4" t="str">
        <f t="shared" si="7"/>
        <v/>
      </c>
      <c r="AK32" s="4"/>
      <c r="AL32" s="4" t="str">
        <f t="shared" si="8"/>
        <v/>
      </c>
      <c r="AM32" s="4" t="str">
        <f t="shared" si="9"/>
        <v/>
      </c>
    </row>
    <row r="33" spans="1:39" x14ac:dyDescent="0.3">
      <c r="A33" s="2">
        <v>46093</v>
      </c>
      <c r="B33" s="3" t="s">
        <v>37</v>
      </c>
      <c r="C33" s="3"/>
      <c r="D33" s="3"/>
      <c r="E33" s="3"/>
      <c r="F33" s="4"/>
      <c r="G33" s="4"/>
      <c r="H33" s="3"/>
      <c r="I33" s="4"/>
      <c r="J33" s="3"/>
      <c r="K33" s="4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 t="str">
        <f t="shared" si="0"/>
        <v>No</v>
      </c>
      <c r="AA33" s="5" t="str">
        <f t="shared" si="1"/>
        <v/>
      </c>
      <c r="AB33" s="6" t="str">
        <f>IF(AA33="","",AA33/Settings!$B$7)</f>
        <v/>
      </c>
      <c r="AC33" s="5" t="str">
        <f t="shared" si="2"/>
        <v/>
      </c>
      <c r="AD33" s="5" t="str">
        <f t="shared" si="3"/>
        <v/>
      </c>
      <c r="AE33" s="3" t="str">
        <f>IF(Z33="No","",IF(AND(AA33&gt;=Settings!$B$4, Y33="Yes"),"Green",IF(AA33&gt;=Settings!$B$5,"Yellow","Grey")))</f>
        <v/>
      </c>
      <c r="AF33" s="5">
        <f t="shared" si="4"/>
        <v>0</v>
      </c>
      <c r="AG33" s="5">
        <f t="shared" si="5"/>
        <v>0</v>
      </c>
      <c r="AH33" s="3" t="str">
        <f t="shared" si="6"/>
        <v/>
      </c>
      <c r="AI33" s="5" t="str">
        <f>IF(Z33="No","",MIN(100,ROUND((AA33/Settings!$B$7)*Settings!$B$10 + IF(Y33="Yes",Settings!$B$11,0) + IF(E33="",0,E33*Settings!$B$12),0)))</f>
        <v/>
      </c>
      <c r="AJ33" s="4" t="str">
        <f t="shared" si="7"/>
        <v/>
      </c>
      <c r="AK33" s="4"/>
      <c r="AL33" s="4" t="str">
        <f t="shared" si="8"/>
        <v/>
      </c>
      <c r="AM33" s="4" t="str">
        <f t="shared" si="9"/>
        <v/>
      </c>
    </row>
    <row r="34" spans="1:39" x14ac:dyDescent="0.3">
      <c r="A34" s="2">
        <v>46094</v>
      </c>
      <c r="B34" s="3" t="s">
        <v>37</v>
      </c>
      <c r="C34" s="3"/>
      <c r="D34" s="3"/>
      <c r="E34" s="3"/>
      <c r="F34" s="4"/>
      <c r="G34" s="4"/>
      <c r="H34" s="3"/>
      <c r="I34" s="4"/>
      <c r="J34" s="3"/>
      <c r="K34" s="4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 t="str">
        <f t="shared" ref="Z34:Z65" si="10">IF(COUNTA(C34:Y34)&gt;0,"Yes","No")</f>
        <v>No</v>
      </c>
      <c r="AA34" s="5" t="str">
        <f t="shared" ref="AA34:AA65" si="11">IF(Z34="No","",COUNTIF(M34:X34,"✅"))</f>
        <v/>
      </c>
      <c r="AB34" s="6" t="str">
        <f>IF(AA34="","",AA34/Settings!$B$7)</f>
        <v/>
      </c>
      <c r="AC34" s="5" t="str">
        <f t="shared" ref="AC34:AC65" si="12">IF(Z34="No","",COUNTIF(H34,"✅")+COUNTIF(J34,"✅")+COUNTIF(L34,"✅"))</f>
        <v/>
      </c>
      <c r="AD34" s="5" t="str">
        <f t="shared" ref="AD34:AD65" si="13">IF(AA34="","",AA34+AC34)</f>
        <v/>
      </c>
      <c r="AE34" s="3" t="str">
        <f>IF(Z34="No","",IF(AND(AA34&gt;=Settings!$B$4, Y34="Yes"),"Green",IF(AA34&gt;=Settings!$B$5,"Yellow","Grey")))</f>
        <v/>
      </c>
      <c r="AF34" s="5">
        <f t="shared" si="4"/>
        <v>0</v>
      </c>
      <c r="AG34" s="5">
        <f t="shared" si="5"/>
        <v>0</v>
      </c>
      <c r="AH34" s="3" t="str">
        <f t="shared" ref="AH34:AH65" si="14">IF(AG34&gt;=2,"ALERT","")</f>
        <v/>
      </c>
      <c r="AI34" s="5" t="str">
        <f>IF(Z34="No","",MIN(100,ROUND((AA34/Settings!$B$7)*Settings!$B$10 + IF(Y34="Yes",Settings!$B$11,0) + IF(E34="",0,E34*Settings!$B$12),0)))</f>
        <v/>
      </c>
      <c r="AJ34" s="4" t="str">
        <f t="shared" ref="AJ34:AJ65" si="15">IF(Z34="No","",IF(M34="❌","Sleep; ","")&amp;IF(N34="❌","No Snooze; ","")&amp;IF(O34="❌","Water; ","")&amp;IF(P34="❌","Gratitude; ","")&amp;IF(Q34="❌","Meditation; ","")&amp;IF(R34="❌","Exercise; ","")&amp;IF(S34="❌","Plan Day; ","")&amp;IF(T34="❌","Deep Work; ","")&amp;IF(U34="❌","One-Tab; ","")&amp;IF(V34="❌","Writing; ","")&amp;IF(W34="❌","Reading; ","")&amp;IF(X34="❌","Tidy; ",""))</f>
        <v/>
      </c>
      <c r="AK34" s="4"/>
      <c r="AL34" s="4" t="str">
        <f t="shared" ref="AL34:AL65" si="16">IF(Z34="No","",IF(AND(G34&lt;&gt;"",H34&lt;&gt;"✅"),G34&amp;"; ","")&amp;IF(AND(I34&lt;&gt;"",J34&lt;&gt;"✅"),I34&amp;"; ","")&amp;IF(AND(K34&lt;&gt;"",L34&lt;&gt;"✅"),K34&amp;"; ",""))</f>
        <v/>
      </c>
      <c r="AM34" s="4" t="str">
        <f t="shared" ref="AM34:AM65" si="17">IF(Z34="No","",AJ34&amp;AL34)</f>
        <v/>
      </c>
    </row>
    <row r="35" spans="1:39" x14ac:dyDescent="0.3">
      <c r="A35" s="2">
        <v>46095</v>
      </c>
      <c r="B35" s="3" t="s">
        <v>38</v>
      </c>
      <c r="C35" s="3"/>
      <c r="D35" s="3"/>
      <c r="E35" s="3"/>
      <c r="F35" s="4"/>
      <c r="G35" s="4"/>
      <c r="H35" s="3"/>
      <c r="I35" s="4"/>
      <c r="J35" s="3"/>
      <c r="K35" s="4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 t="str">
        <f t="shared" si="10"/>
        <v>No</v>
      </c>
      <c r="AA35" s="5" t="str">
        <f t="shared" si="11"/>
        <v/>
      </c>
      <c r="AB35" s="6" t="str">
        <f>IF(AA35="","",AA35/Settings!$B$7)</f>
        <v/>
      </c>
      <c r="AC35" s="5" t="str">
        <f t="shared" si="12"/>
        <v/>
      </c>
      <c r="AD35" s="5" t="str">
        <f t="shared" si="13"/>
        <v/>
      </c>
      <c r="AE35" s="3" t="str">
        <f>IF(Z35="No","",IF(AND(AA35&gt;=Settings!$B$4, Y35="Yes"),"Green",IF(AA35&gt;=Settings!$B$5,"Yellow","Grey")))</f>
        <v/>
      </c>
      <c r="AF35" s="5">
        <f t="shared" ref="AF35:AF66" si="18">IF(AE35="Green",AF34+1,0)</f>
        <v>0</v>
      </c>
      <c r="AG35" s="5">
        <f t="shared" ref="AG35:AG66" si="19">IF(AE35="Grey",AG34+1,0)</f>
        <v>0</v>
      </c>
      <c r="AH35" s="3" t="str">
        <f t="shared" si="14"/>
        <v/>
      </c>
      <c r="AI35" s="5" t="str">
        <f>IF(Z35="No","",MIN(100,ROUND((AA35/Settings!$B$7)*Settings!$B$10 + IF(Y35="Yes",Settings!$B$11,0) + IF(E35="",0,E35*Settings!$B$12),0)))</f>
        <v/>
      </c>
      <c r="AJ35" s="4" t="str">
        <f t="shared" si="15"/>
        <v/>
      </c>
      <c r="AK35" s="4"/>
      <c r="AL35" s="4" t="str">
        <f t="shared" si="16"/>
        <v/>
      </c>
      <c r="AM35" s="4" t="str">
        <f t="shared" si="17"/>
        <v/>
      </c>
    </row>
    <row r="36" spans="1:39" x14ac:dyDescent="0.3">
      <c r="A36" s="2">
        <v>46096</v>
      </c>
      <c r="B36" s="3" t="s">
        <v>38</v>
      </c>
      <c r="C36" s="3"/>
      <c r="D36" s="3"/>
      <c r="E36" s="3"/>
      <c r="F36" s="4"/>
      <c r="G36" s="4"/>
      <c r="H36" s="3"/>
      <c r="I36" s="4"/>
      <c r="J36" s="3"/>
      <c r="K36" s="4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 t="str">
        <f t="shared" si="10"/>
        <v>No</v>
      </c>
      <c r="AA36" s="5" t="str">
        <f t="shared" si="11"/>
        <v/>
      </c>
      <c r="AB36" s="6" t="str">
        <f>IF(AA36="","",AA36/Settings!$B$7)</f>
        <v/>
      </c>
      <c r="AC36" s="5" t="str">
        <f t="shared" si="12"/>
        <v/>
      </c>
      <c r="AD36" s="5" t="str">
        <f t="shared" si="13"/>
        <v/>
      </c>
      <c r="AE36" s="3" t="str">
        <f>IF(Z36="No","",IF(AND(AA36&gt;=Settings!$B$4, Y36="Yes"),"Green",IF(AA36&gt;=Settings!$B$5,"Yellow","Grey")))</f>
        <v/>
      </c>
      <c r="AF36" s="5">
        <f t="shared" si="18"/>
        <v>0</v>
      </c>
      <c r="AG36" s="5">
        <f t="shared" si="19"/>
        <v>0</v>
      </c>
      <c r="AH36" s="3" t="str">
        <f t="shared" si="14"/>
        <v/>
      </c>
      <c r="AI36" s="5" t="str">
        <f>IF(Z36="No","",MIN(100,ROUND((AA36/Settings!$B$7)*Settings!$B$10 + IF(Y36="Yes",Settings!$B$11,0) + IF(E36="",0,E36*Settings!$B$12),0)))</f>
        <v/>
      </c>
      <c r="AJ36" s="4" t="str">
        <f t="shared" si="15"/>
        <v/>
      </c>
      <c r="AK36" s="4"/>
      <c r="AL36" s="4" t="str">
        <f t="shared" si="16"/>
        <v/>
      </c>
      <c r="AM36" s="4" t="str">
        <f t="shared" si="17"/>
        <v/>
      </c>
    </row>
    <row r="37" spans="1:39" x14ac:dyDescent="0.3">
      <c r="A37" s="2">
        <v>46097</v>
      </c>
      <c r="B37" s="3" t="s">
        <v>37</v>
      </c>
      <c r="C37" s="3"/>
      <c r="D37" s="3"/>
      <c r="E37" s="3"/>
      <c r="F37" s="4"/>
      <c r="G37" s="4"/>
      <c r="H37" s="3"/>
      <c r="I37" s="4"/>
      <c r="J37" s="3"/>
      <c r="K37" s="4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 t="str">
        <f t="shared" si="10"/>
        <v>No</v>
      </c>
      <c r="AA37" s="5" t="str">
        <f t="shared" si="11"/>
        <v/>
      </c>
      <c r="AB37" s="6" t="str">
        <f>IF(AA37="","",AA37/Settings!$B$7)</f>
        <v/>
      </c>
      <c r="AC37" s="5" t="str">
        <f t="shared" si="12"/>
        <v/>
      </c>
      <c r="AD37" s="5" t="str">
        <f t="shared" si="13"/>
        <v/>
      </c>
      <c r="AE37" s="3" t="str">
        <f>IF(Z37="No","",IF(AND(AA37&gt;=Settings!$B$4, Y37="Yes"),"Green",IF(AA37&gt;=Settings!$B$5,"Yellow","Grey")))</f>
        <v/>
      </c>
      <c r="AF37" s="5">
        <f t="shared" si="18"/>
        <v>0</v>
      </c>
      <c r="AG37" s="5">
        <f t="shared" si="19"/>
        <v>0</v>
      </c>
      <c r="AH37" s="3" t="str">
        <f t="shared" si="14"/>
        <v/>
      </c>
      <c r="AI37" s="5" t="str">
        <f>IF(Z37="No","",MIN(100,ROUND((AA37/Settings!$B$7)*Settings!$B$10 + IF(Y37="Yes",Settings!$B$11,0) + IF(E37="",0,E37*Settings!$B$12),0)))</f>
        <v/>
      </c>
      <c r="AJ37" s="4" t="str">
        <f t="shared" si="15"/>
        <v/>
      </c>
      <c r="AK37" s="4"/>
      <c r="AL37" s="4" t="str">
        <f t="shared" si="16"/>
        <v/>
      </c>
      <c r="AM37" s="4" t="str">
        <f t="shared" si="17"/>
        <v/>
      </c>
    </row>
    <row r="38" spans="1:39" x14ac:dyDescent="0.3">
      <c r="A38" s="2">
        <v>46098</v>
      </c>
      <c r="B38" s="3" t="s">
        <v>37</v>
      </c>
      <c r="C38" s="3"/>
      <c r="D38" s="3"/>
      <c r="E38" s="3"/>
      <c r="F38" s="4"/>
      <c r="G38" s="4"/>
      <c r="H38" s="3"/>
      <c r="I38" s="4"/>
      <c r="J38" s="3"/>
      <c r="K38" s="4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 t="str">
        <f t="shared" si="10"/>
        <v>No</v>
      </c>
      <c r="AA38" s="5" t="str">
        <f t="shared" si="11"/>
        <v/>
      </c>
      <c r="AB38" s="6" t="str">
        <f>IF(AA38="","",AA38/Settings!$B$7)</f>
        <v/>
      </c>
      <c r="AC38" s="5" t="str">
        <f t="shared" si="12"/>
        <v/>
      </c>
      <c r="AD38" s="5" t="str">
        <f t="shared" si="13"/>
        <v/>
      </c>
      <c r="AE38" s="3" t="str">
        <f>IF(Z38="No","",IF(AND(AA38&gt;=Settings!$B$4, Y38="Yes"),"Green",IF(AA38&gt;=Settings!$B$5,"Yellow","Grey")))</f>
        <v/>
      </c>
      <c r="AF38" s="5">
        <f t="shared" si="18"/>
        <v>0</v>
      </c>
      <c r="AG38" s="5">
        <f t="shared" si="19"/>
        <v>0</v>
      </c>
      <c r="AH38" s="3" t="str">
        <f t="shared" si="14"/>
        <v/>
      </c>
      <c r="AI38" s="5" t="str">
        <f>IF(Z38="No","",MIN(100,ROUND((AA38/Settings!$B$7)*Settings!$B$10 + IF(Y38="Yes",Settings!$B$11,0) + IF(E38="",0,E38*Settings!$B$12),0)))</f>
        <v/>
      </c>
      <c r="AJ38" s="4" t="str">
        <f t="shared" si="15"/>
        <v/>
      </c>
      <c r="AK38" s="4"/>
      <c r="AL38" s="4" t="str">
        <f t="shared" si="16"/>
        <v/>
      </c>
      <c r="AM38" s="4" t="str">
        <f t="shared" si="17"/>
        <v/>
      </c>
    </row>
    <row r="39" spans="1:39" x14ac:dyDescent="0.3">
      <c r="A39" s="2">
        <v>46099</v>
      </c>
      <c r="B39" s="3" t="s">
        <v>37</v>
      </c>
      <c r="C39" s="3"/>
      <c r="D39" s="3"/>
      <c r="E39" s="3"/>
      <c r="F39" s="4"/>
      <c r="G39" s="4"/>
      <c r="H39" s="3"/>
      <c r="I39" s="4"/>
      <c r="J39" s="3"/>
      <c r="K39" s="4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 t="str">
        <f t="shared" si="10"/>
        <v>No</v>
      </c>
      <c r="AA39" s="5" t="str">
        <f t="shared" si="11"/>
        <v/>
      </c>
      <c r="AB39" s="6" t="str">
        <f>IF(AA39="","",AA39/Settings!$B$7)</f>
        <v/>
      </c>
      <c r="AC39" s="5" t="str">
        <f t="shared" si="12"/>
        <v/>
      </c>
      <c r="AD39" s="5" t="str">
        <f t="shared" si="13"/>
        <v/>
      </c>
      <c r="AE39" s="3" t="str">
        <f>IF(Z39="No","",IF(AND(AA39&gt;=Settings!$B$4, Y39="Yes"),"Green",IF(AA39&gt;=Settings!$B$5,"Yellow","Grey")))</f>
        <v/>
      </c>
      <c r="AF39" s="5">
        <f t="shared" si="18"/>
        <v>0</v>
      </c>
      <c r="AG39" s="5">
        <f t="shared" si="19"/>
        <v>0</v>
      </c>
      <c r="AH39" s="3" t="str">
        <f t="shared" si="14"/>
        <v/>
      </c>
      <c r="AI39" s="5" t="str">
        <f>IF(Z39="No","",MIN(100,ROUND((AA39/Settings!$B$7)*Settings!$B$10 + IF(Y39="Yes",Settings!$B$11,0) + IF(E39="",0,E39*Settings!$B$12),0)))</f>
        <v/>
      </c>
      <c r="AJ39" s="4" t="str">
        <f t="shared" si="15"/>
        <v/>
      </c>
      <c r="AK39" s="4"/>
      <c r="AL39" s="4" t="str">
        <f t="shared" si="16"/>
        <v/>
      </c>
      <c r="AM39" s="4" t="str">
        <f t="shared" si="17"/>
        <v/>
      </c>
    </row>
    <row r="40" spans="1:39" x14ac:dyDescent="0.3">
      <c r="A40" s="2">
        <v>46100</v>
      </c>
      <c r="B40" s="3" t="s">
        <v>37</v>
      </c>
      <c r="C40" s="3"/>
      <c r="D40" s="3"/>
      <c r="E40" s="3"/>
      <c r="F40" s="4"/>
      <c r="G40" s="4"/>
      <c r="H40" s="3"/>
      <c r="I40" s="4"/>
      <c r="J40" s="3"/>
      <c r="K40" s="4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 t="str">
        <f t="shared" si="10"/>
        <v>No</v>
      </c>
      <c r="AA40" s="5" t="str">
        <f t="shared" si="11"/>
        <v/>
      </c>
      <c r="AB40" s="6" t="str">
        <f>IF(AA40="","",AA40/Settings!$B$7)</f>
        <v/>
      </c>
      <c r="AC40" s="5" t="str">
        <f t="shared" si="12"/>
        <v/>
      </c>
      <c r="AD40" s="5" t="str">
        <f t="shared" si="13"/>
        <v/>
      </c>
      <c r="AE40" s="3" t="str">
        <f>IF(Z40="No","",IF(AND(AA40&gt;=Settings!$B$4, Y40="Yes"),"Green",IF(AA40&gt;=Settings!$B$5,"Yellow","Grey")))</f>
        <v/>
      </c>
      <c r="AF40" s="5">
        <f t="shared" si="18"/>
        <v>0</v>
      </c>
      <c r="AG40" s="5">
        <f t="shared" si="19"/>
        <v>0</v>
      </c>
      <c r="AH40" s="3" t="str">
        <f t="shared" si="14"/>
        <v/>
      </c>
      <c r="AI40" s="5" t="str">
        <f>IF(Z40="No","",MIN(100,ROUND((AA40/Settings!$B$7)*Settings!$B$10 + IF(Y40="Yes",Settings!$B$11,0) + IF(E40="",0,E40*Settings!$B$12),0)))</f>
        <v/>
      </c>
      <c r="AJ40" s="4" t="str">
        <f t="shared" si="15"/>
        <v/>
      </c>
      <c r="AK40" s="4"/>
      <c r="AL40" s="4" t="str">
        <f t="shared" si="16"/>
        <v/>
      </c>
      <c r="AM40" s="4" t="str">
        <f t="shared" si="17"/>
        <v/>
      </c>
    </row>
    <row r="41" spans="1:39" x14ac:dyDescent="0.3">
      <c r="A41" s="2">
        <v>46101</v>
      </c>
      <c r="B41" s="3" t="s">
        <v>37</v>
      </c>
      <c r="C41" s="3"/>
      <c r="D41" s="3"/>
      <c r="E41" s="3"/>
      <c r="F41" s="4"/>
      <c r="G41" s="4"/>
      <c r="H41" s="3"/>
      <c r="I41" s="4"/>
      <c r="J41" s="3"/>
      <c r="K41" s="4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 t="str">
        <f t="shared" si="10"/>
        <v>No</v>
      </c>
      <c r="AA41" s="5" t="str">
        <f t="shared" si="11"/>
        <v/>
      </c>
      <c r="AB41" s="6" t="str">
        <f>IF(AA41="","",AA41/Settings!$B$7)</f>
        <v/>
      </c>
      <c r="AC41" s="5" t="str">
        <f t="shared" si="12"/>
        <v/>
      </c>
      <c r="AD41" s="5" t="str">
        <f t="shared" si="13"/>
        <v/>
      </c>
      <c r="AE41" s="3" t="str">
        <f>IF(Z41="No","",IF(AND(AA41&gt;=Settings!$B$4, Y41="Yes"),"Green",IF(AA41&gt;=Settings!$B$5,"Yellow","Grey")))</f>
        <v/>
      </c>
      <c r="AF41" s="5">
        <f t="shared" si="18"/>
        <v>0</v>
      </c>
      <c r="AG41" s="5">
        <f t="shared" si="19"/>
        <v>0</v>
      </c>
      <c r="AH41" s="3" t="str">
        <f t="shared" si="14"/>
        <v/>
      </c>
      <c r="AI41" s="5" t="str">
        <f>IF(Z41="No","",MIN(100,ROUND((AA41/Settings!$B$7)*Settings!$B$10 + IF(Y41="Yes",Settings!$B$11,0) + IF(E41="",0,E41*Settings!$B$12),0)))</f>
        <v/>
      </c>
      <c r="AJ41" s="4" t="str">
        <f t="shared" si="15"/>
        <v/>
      </c>
      <c r="AK41" s="4"/>
      <c r="AL41" s="4" t="str">
        <f t="shared" si="16"/>
        <v/>
      </c>
      <c r="AM41" s="4" t="str">
        <f t="shared" si="17"/>
        <v/>
      </c>
    </row>
    <row r="42" spans="1:39" x14ac:dyDescent="0.3">
      <c r="A42" s="2">
        <v>46102</v>
      </c>
      <c r="B42" s="3" t="s">
        <v>38</v>
      </c>
      <c r="C42" s="3"/>
      <c r="D42" s="3"/>
      <c r="E42" s="3"/>
      <c r="F42" s="4"/>
      <c r="G42" s="4"/>
      <c r="H42" s="3"/>
      <c r="I42" s="4"/>
      <c r="J42" s="3"/>
      <c r="K42" s="4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 t="str">
        <f t="shared" si="10"/>
        <v>No</v>
      </c>
      <c r="AA42" s="5" t="str">
        <f t="shared" si="11"/>
        <v/>
      </c>
      <c r="AB42" s="6" t="str">
        <f>IF(AA42="","",AA42/Settings!$B$7)</f>
        <v/>
      </c>
      <c r="AC42" s="5" t="str">
        <f t="shared" si="12"/>
        <v/>
      </c>
      <c r="AD42" s="5" t="str">
        <f t="shared" si="13"/>
        <v/>
      </c>
      <c r="AE42" s="3" t="str">
        <f>IF(Z42="No","",IF(AND(AA42&gt;=Settings!$B$4, Y42="Yes"),"Green",IF(AA42&gt;=Settings!$B$5,"Yellow","Grey")))</f>
        <v/>
      </c>
      <c r="AF42" s="5">
        <f t="shared" si="18"/>
        <v>0</v>
      </c>
      <c r="AG42" s="5">
        <f t="shared" si="19"/>
        <v>0</v>
      </c>
      <c r="AH42" s="3" t="str">
        <f t="shared" si="14"/>
        <v/>
      </c>
      <c r="AI42" s="5" t="str">
        <f>IF(Z42="No","",MIN(100,ROUND((AA42/Settings!$B$7)*Settings!$B$10 + IF(Y42="Yes",Settings!$B$11,0) + IF(E42="",0,E42*Settings!$B$12),0)))</f>
        <v/>
      </c>
      <c r="AJ42" s="4" t="str">
        <f t="shared" si="15"/>
        <v/>
      </c>
      <c r="AK42" s="4"/>
      <c r="AL42" s="4" t="str">
        <f t="shared" si="16"/>
        <v/>
      </c>
      <c r="AM42" s="4" t="str">
        <f t="shared" si="17"/>
        <v/>
      </c>
    </row>
    <row r="43" spans="1:39" x14ac:dyDescent="0.3">
      <c r="A43" s="2">
        <v>46103</v>
      </c>
      <c r="B43" s="3" t="s">
        <v>38</v>
      </c>
      <c r="C43" s="3"/>
      <c r="D43" s="3"/>
      <c r="E43" s="3"/>
      <c r="F43" s="4"/>
      <c r="G43" s="4"/>
      <c r="H43" s="3"/>
      <c r="I43" s="4"/>
      <c r="J43" s="3"/>
      <c r="K43" s="4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 t="str">
        <f t="shared" si="10"/>
        <v>No</v>
      </c>
      <c r="AA43" s="5" t="str">
        <f t="shared" si="11"/>
        <v/>
      </c>
      <c r="AB43" s="6" t="str">
        <f>IF(AA43="","",AA43/Settings!$B$7)</f>
        <v/>
      </c>
      <c r="AC43" s="5" t="str">
        <f t="shared" si="12"/>
        <v/>
      </c>
      <c r="AD43" s="5" t="str">
        <f t="shared" si="13"/>
        <v/>
      </c>
      <c r="AE43" s="3" t="str">
        <f>IF(Z43="No","",IF(AND(AA43&gt;=Settings!$B$4, Y43="Yes"),"Green",IF(AA43&gt;=Settings!$B$5,"Yellow","Grey")))</f>
        <v/>
      </c>
      <c r="AF43" s="5">
        <f t="shared" si="18"/>
        <v>0</v>
      </c>
      <c r="AG43" s="5">
        <f t="shared" si="19"/>
        <v>0</v>
      </c>
      <c r="AH43" s="3" t="str">
        <f t="shared" si="14"/>
        <v/>
      </c>
      <c r="AI43" s="5" t="str">
        <f>IF(Z43="No","",MIN(100,ROUND((AA43/Settings!$B$7)*Settings!$B$10 + IF(Y43="Yes",Settings!$B$11,0) + IF(E43="",0,E43*Settings!$B$12),0)))</f>
        <v/>
      </c>
      <c r="AJ43" s="4" t="str">
        <f t="shared" si="15"/>
        <v/>
      </c>
      <c r="AK43" s="4"/>
      <c r="AL43" s="4" t="str">
        <f t="shared" si="16"/>
        <v/>
      </c>
      <c r="AM43" s="4" t="str">
        <f t="shared" si="17"/>
        <v/>
      </c>
    </row>
    <row r="44" spans="1:39" x14ac:dyDescent="0.3">
      <c r="A44" s="2">
        <v>46104</v>
      </c>
      <c r="B44" s="3" t="s">
        <v>37</v>
      </c>
      <c r="C44" s="3"/>
      <c r="D44" s="3"/>
      <c r="E44" s="3"/>
      <c r="F44" s="4"/>
      <c r="G44" s="4"/>
      <c r="H44" s="3"/>
      <c r="I44" s="4"/>
      <c r="J44" s="3"/>
      <c r="K44" s="4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 t="str">
        <f t="shared" si="10"/>
        <v>No</v>
      </c>
      <c r="AA44" s="5" t="str">
        <f t="shared" si="11"/>
        <v/>
      </c>
      <c r="AB44" s="6" t="str">
        <f>IF(AA44="","",AA44/Settings!$B$7)</f>
        <v/>
      </c>
      <c r="AC44" s="5" t="str">
        <f t="shared" si="12"/>
        <v/>
      </c>
      <c r="AD44" s="5" t="str">
        <f t="shared" si="13"/>
        <v/>
      </c>
      <c r="AE44" s="3" t="str">
        <f>IF(Z44="No","",IF(AND(AA44&gt;=Settings!$B$4, Y44="Yes"),"Green",IF(AA44&gt;=Settings!$B$5,"Yellow","Grey")))</f>
        <v/>
      </c>
      <c r="AF44" s="5">
        <f t="shared" si="18"/>
        <v>0</v>
      </c>
      <c r="AG44" s="5">
        <f t="shared" si="19"/>
        <v>0</v>
      </c>
      <c r="AH44" s="3" t="str">
        <f t="shared" si="14"/>
        <v/>
      </c>
      <c r="AI44" s="5" t="str">
        <f>IF(Z44="No","",MIN(100,ROUND((AA44/Settings!$B$7)*Settings!$B$10 + IF(Y44="Yes",Settings!$B$11,0) + IF(E44="",0,E44*Settings!$B$12),0)))</f>
        <v/>
      </c>
      <c r="AJ44" s="4" t="str">
        <f t="shared" si="15"/>
        <v/>
      </c>
      <c r="AK44" s="4"/>
      <c r="AL44" s="4" t="str">
        <f t="shared" si="16"/>
        <v/>
      </c>
      <c r="AM44" s="4" t="str">
        <f t="shared" si="17"/>
        <v/>
      </c>
    </row>
    <row r="45" spans="1:39" x14ac:dyDescent="0.3">
      <c r="A45" s="2">
        <v>46105</v>
      </c>
      <c r="B45" s="3" t="s">
        <v>37</v>
      </c>
      <c r="C45" s="3"/>
      <c r="D45" s="3"/>
      <c r="E45" s="3"/>
      <c r="F45" s="4"/>
      <c r="G45" s="4"/>
      <c r="H45" s="3"/>
      <c r="I45" s="4"/>
      <c r="J45" s="3"/>
      <c r="K45" s="4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 t="str">
        <f t="shared" si="10"/>
        <v>No</v>
      </c>
      <c r="AA45" s="5" t="str">
        <f t="shared" si="11"/>
        <v/>
      </c>
      <c r="AB45" s="6" t="str">
        <f>IF(AA45="","",AA45/Settings!$B$7)</f>
        <v/>
      </c>
      <c r="AC45" s="5" t="str">
        <f t="shared" si="12"/>
        <v/>
      </c>
      <c r="AD45" s="5" t="str">
        <f t="shared" si="13"/>
        <v/>
      </c>
      <c r="AE45" s="3" t="str">
        <f>IF(Z45="No","",IF(AND(AA45&gt;=Settings!$B$4, Y45="Yes"),"Green",IF(AA45&gt;=Settings!$B$5,"Yellow","Grey")))</f>
        <v/>
      </c>
      <c r="AF45" s="5">
        <f t="shared" si="18"/>
        <v>0</v>
      </c>
      <c r="AG45" s="5">
        <f t="shared" si="19"/>
        <v>0</v>
      </c>
      <c r="AH45" s="3" t="str">
        <f t="shared" si="14"/>
        <v/>
      </c>
      <c r="AI45" s="5" t="str">
        <f>IF(Z45="No","",MIN(100,ROUND((AA45/Settings!$B$7)*Settings!$B$10 + IF(Y45="Yes",Settings!$B$11,0) + IF(E45="",0,E45*Settings!$B$12),0)))</f>
        <v/>
      </c>
      <c r="AJ45" s="4" t="str">
        <f t="shared" si="15"/>
        <v/>
      </c>
      <c r="AK45" s="4"/>
      <c r="AL45" s="4" t="str">
        <f t="shared" si="16"/>
        <v/>
      </c>
      <c r="AM45" s="4" t="str">
        <f t="shared" si="17"/>
        <v/>
      </c>
    </row>
    <row r="46" spans="1:39" x14ac:dyDescent="0.3">
      <c r="A46" s="2">
        <v>46106</v>
      </c>
      <c r="B46" s="3" t="s">
        <v>37</v>
      </c>
      <c r="C46" s="3"/>
      <c r="D46" s="3"/>
      <c r="E46" s="3"/>
      <c r="F46" s="4"/>
      <c r="G46" s="4"/>
      <c r="H46" s="3"/>
      <c r="I46" s="4"/>
      <c r="J46" s="3"/>
      <c r="K46" s="4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 t="str">
        <f t="shared" si="10"/>
        <v>No</v>
      </c>
      <c r="AA46" s="5" t="str">
        <f t="shared" si="11"/>
        <v/>
      </c>
      <c r="AB46" s="6" t="str">
        <f>IF(AA46="","",AA46/Settings!$B$7)</f>
        <v/>
      </c>
      <c r="AC46" s="5" t="str">
        <f t="shared" si="12"/>
        <v/>
      </c>
      <c r="AD46" s="5" t="str">
        <f t="shared" si="13"/>
        <v/>
      </c>
      <c r="AE46" s="3" t="str">
        <f>IF(Z46="No","",IF(AND(AA46&gt;=Settings!$B$4, Y46="Yes"),"Green",IF(AA46&gt;=Settings!$B$5,"Yellow","Grey")))</f>
        <v/>
      </c>
      <c r="AF46" s="5">
        <f t="shared" si="18"/>
        <v>0</v>
      </c>
      <c r="AG46" s="5">
        <f t="shared" si="19"/>
        <v>0</v>
      </c>
      <c r="AH46" s="3" t="str">
        <f t="shared" si="14"/>
        <v/>
      </c>
      <c r="AI46" s="5" t="str">
        <f>IF(Z46="No","",MIN(100,ROUND((AA46/Settings!$B$7)*Settings!$B$10 + IF(Y46="Yes",Settings!$B$11,0) + IF(E46="",0,E46*Settings!$B$12),0)))</f>
        <v/>
      </c>
      <c r="AJ46" s="4" t="str">
        <f t="shared" si="15"/>
        <v/>
      </c>
      <c r="AK46" s="4"/>
      <c r="AL46" s="4" t="str">
        <f t="shared" si="16"/>
        <v/>
      </c>
      <c r="AM46" s="4" t="str">
        <f t="shared" si="17"/>
        <v/>
      </c>
    </row>
    <row r="47" spans="1:39" x14ac:dyDescent="0.3">
      <c r="A47" s="2">
        <v>46107</v>
      </c>
      <c r="B47" s="3" t="s">
        <v>37</v>
      </c>
      <c r="C47" s="3"/>
      <c r="D47" s="3"/>
      <c r="E47" s="3"/>
      <c r="F47" s="4"/>
      <c r="G47" s="4"/>
      <c r="H47" s="3"/>
      <c r="I47" s="4"/>
      <c r="J47" s="3"/>
      <c r="K47" s="4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 t="str">
        <f t="shared" si="10"/>
        <v>No</v>
      </c>
      <c r="AA47" s="5" t="str">
        <f t="shared" si="11"/>
        <v/>
      </c>
      <c r="AB47" s="6" t="str">
        <f>IF(AA47="","",AA47/Settings!$B$7)</f>
        <v/>
      </c>
      <c r="AC47" s="5" t="str">
        <f t="shared" si="12"/>
        <v/>
      </c>
      <c r="AD47" s="5" t="str">
        <f t="shared" si="13"/>
        <v/>
      </c>
      <c r="AE47" s="3" t="str">
        <f>IF(Z47="No","",IF(AND(AA47&gt;=Settings!$B$4, Y47="Yes"),"Green",IF(AA47&gt;=Settings!$B$5,"Yellow","Grey")))</f>
        <v/>
      </c>
      <c r="AF47" s="5">
        <f t="shared" si="18"/>
        <v>0</v>
      </c>
      <c r="AG47" s="5">
        <f t="shared" si="19"/>
        <v>0</v>
      </c>
      <c r="AH47" s="3" t="str">
        <f t="shared" si="14"/>
        <v/>
      </c>
      <c r="AI47" s="5" t="str">
        <f>IF(Z47="No","",MIN(100,ROUND((AA47/Settings!$B$7)*Settings!$B$10 + IF(Y47="Yes",Settings!$B$11,0) + IF(E47="",0,E47*Settings!$B$12),0)))</f>
        <v/>
      </c>
      <c r="AJ47" s="4" t="str">
        <f t="shared" si="15"/>
        <v/>
      </c>
      <c r="AK47" s="4"/>
      <c r="AL47" s="4" t="str">
        <f t="shared" si="16"/>
        <v/>
      </c>
      <c r="AM47" s="4" t="str">
        <f t="shared" si="17"/>
        <v/>
      </c>
    </row>
    <row r="48" spans="1:39" x14ac:dyDescent="0.3">
      <c r="A48" s="2">
        <v>46108</v>
      </c>
      <c r="B48" s="3" t="s">
        <v>37</v>
      </c>
      <c r="C48" s="3"/>
      <c r="D48" s="3"/>
      <c r="E48" s="3"/>
      <c r="F48" s="4"/>
      <c r="G48" s="4"/>
      <c r="H48" s="3"/>
      <c r="I48" s="4"/>
      <c r="J48" s="3"/>
      <c r="K48" s="4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 t="str">
        <f t="shared" si="10"/>
        <v>No</v>
      </c>
      <c r="AA48" s="5" t="str">
        <f t="shared" si="11"/>
        <v/>
      </c>
      <c r="AB48" s="6" t="str">
        <f>IF(AA48="","",AA48/Settings!$B$7)</f>
        <v/>
      </c>
      <c r="AC48" s="5" t="str">
        <f t="shared" si="12"/>
        <v/>
      </c>
      <c r="AD48" s="5" t="str">
        <f t="shared" si="13"/>
        <v/>
      </c>
      <c r="AE48" s="3" t="str">
        <f>IF(Z48="No","",IF(AND(AA48&gt;=Settings!$B$4, Y48="Yes"),"Green",IF(AA48&gt;=Settings!$B$5,"Yellow","Grey")))</f>
        <v/>
      </c>
      <c r="AF48" s="5">
        <f t="shared" si="18"/>
        <v>0</v>
      </c>
      <c r="AG48" s="5">
        <f t="shared" si="19"/>
        <v>0</v>
      </c>
      <c r="AH48" s="3" t="str">
        <f t="shared" si="14"/>
        <v/>
      </c>
      <c r="AI48" s="5" t="str">
        <f>IF(Z48="No","",MIN(100,ROUND((AA48/Settings!$B$7)*Settings!$B$10 + IF(Y48="Yes",Settings!$B$11,0) + IF(E48="",0,E48*Settings!$B$12),0)))</f>
        <v/>
      </c>
      <c r="AJ48" s="4" t="str">
        <f t="shared" si="15"/>
        <v/>
      </c>
      <c r="AK48" s="4"/>
      <c r="AL48" s="4" t="str">
        <f t="shared" si="16"/>
        <v/>
      </c>
      <c r="AM48" s="4" t="str">
        <f t="shared" si="17"/>
        <v/>
      </c>
    </row>
    <row r="49" spans="1:39" x14ac:dyDescent="0.3">
      <c r="A49" s="2">
        <v>46109</v>
      </c>
      <c r="B49" s="3" t="s">
        <v>38</v>
      </c>
      <c r="C49" s="3"/>
      <c r="D49" s="3"/>
      <c r="E49" s="3"/>
      <c r="F49" s="4"/>
      <c r="G49" s="4"/>
      <c r="H49" s="3"/>
      <c r="I49" s="4"/>
      <c r="J49" s="3"/>
      <c r="K49" s="4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 t="str">
        <f t="shared" si="10"/>
        <v>No</v>
      </c>
      <c r="AA49" s="5" t="str">
        <f t="shared" si="11"/>
        <v/>
      </c>
      <c r="AB49" s="6" t="str">
        <f>IF(AA49="","",AA49/Settings!$B$7)</f>
        <v/>
      </c>
      <c r="AC49" s="5" t="str">
        <f t="shared" si="12"/>
        <v/>
      </c>
      <c r="AD49" s="5" t="str">
        <f t="shared" si="13"/>
        <v/>
      </c>
      <c r="AE49" s="3" t="str">
        <f>IF(Z49="No","",IF(AND(AA49&gt;=Settings!$B$4, Y49="Yes"),"Green",IF(AA49&gt;=Settings!$B$5,"Yellow","Grey")))</f>
        <v/>
      </c>
      <c r="AF49" s="5">
        <f t="shared" si="18"/>
        <v>0</v>
      </c>
      <c r="AG49" s="5">
        <f t="shared" si="19"/>
        <v>0</v>
      </c>
      <c r="AH49" s="3" t="str">
        <f t="shared" si="14"/>
        <v/>
      </c>
      <c r="AI49" s="5" t="str">
        <f>IF(Z49="No","",MIN(100,ROUND((AA49/Settings!$B$7)*Settings!$B$10 + IF(Y49="Yes",Settings!$B$11,0) + IF(E49="",0,E49*Settings!$B$12),0)))</f>
        <v/>
      </c>
      <c r="AJ49" s="4" t="str">
        <f t="shared" si="15"/>
        <v/>
      </c>
      <c r="AK49" s="4"/>
      <c r="AL49" s="4" t="str">
        <f t="shared" si="16"/>
        <v/>
      </c>
      <c r="AM49" s="4" t="str">
        <f t="shared" si="17"/>
        <v/>
      </c>
    </row>
    <row r="50" spans="1:39" x14ac:dyDescent="0.3">
      <c r="A50" s="2">
        <v>46110</v>
      </c>
      <c r="B50" s="3" t="s">
        <v>38</v>
      </c>
      <c r="C50" s="3"/>
      <c r="D50" s="3"/>
      <c r="E50" s="3"/>
      <c r="F50" s="4"/>
      <c r="G50" s="4"/>
      <c r="H50" s="3"/>
      <c r="I50" s="4"/>
      <c r="J50" s="3"/>
      <c r="K50" s="4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 t="str">
        <f t="shared" si="10"/>
        <v>No</v>
      </c>
      <c r="AA50" s="5" t="str">
        <f t="shared" si="11"/>
        <v/>
      </c>
      <c r="AB50" s="6" t="str">
        <f>IF(AA50="","",AA50/Settings!$B$7)</f>
        <v/>
      </c>
      <c r="AC50" s="5" t="str">
        <f t="shared" si="12"/>
        <v/>
      </c>
      <c r="AD50" s="5" t="str">
        <f t="shared" si="13"/>
        <v/>
      </c>
      <c r="AE50" s="3" t="str">
        <f>IF(Z50="No","",IF(AND(AA50&gt;=Settings!$B$4, Y50="Yes"),"Green",IF(AA50&gt;=Settings!$B$5,"Yellow","Grey")))</f>
        <v/>
      </c>
      <c r="AF50" s="5">
        <f t="shared" si="18"/>
        <v>0</v>
      </c>
      <c r="AG50" s="5">
        <f t="shared" si="19"/>
        <v>0</v>
      </c>
      <c r="AH50" s="3" t="str">
        <f t="shared" si="14"/>
        <v/>
      </c>
      <c r="AI50" s="5" t="str">
        <f>IF(Z50="No","",MIN(100,ROUND((AA50/Settings!$B$7)*Settings!$B$10 + IF(Y50="Yes",Settings!$B$11,0) + IF(E50="",0,E50*Settings!$B$12),0)))</f>
        <v/>
      </c>
      <c r="AJ50" s="4" t="str">
        <f t="shared" si="15"/>
        <v/>
      </c>
      <c r="AK50" s="4"/>
      <c r="AL50" s="4" t="str">
        <f t="shared" si="16"/>
        <v/>
      </c>
      <c r="AM50" s="4" t="str">
        <f t="shared" si="17"/>
        <v/>
      </c>
    </row>
    <row r="51" spans="1:39" x14ac:dyDescent="0.3">
      <c r="A51" s="2">
        <v>46111</v>
      </c>
      <c r="B51" s="3" t="s">
        <v>37</v>
      </c>
      <c r="C51" s="3"/>
      <c r="D51" s="3"/>
      <c r="E51" s="3"/>
      <c r="F51" s="4"/>
      <c r="G51" s="4"/>
      <c r="H51" s="3"/>
      <c r="I51" s="4"/>
      <c r="J51" s="3"/>
      <c r="K51" s="4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 t="str">
        <f t="shared" si="10"/>
        <v>No</v>
      </c>
      <c r="AA51" s="5" t="str">
        <f t="shared" si="11"/>
        <v/>
      </c>
      <c r="AB51" s="6" t="str">
        <f>IF(AA51="","",AA51/Settings!$B$7)</f>
        <v/>
      </c>
      <c r="AC51" s="5" t="str">
        <f t="shared" si="12"/>
        <v/>
      </c>
      <c r="AD51" s="5" t="str">
        <f t="shared" si="13"/>
        <v/>
      </c>
      <c r="AE51" s="3" t="str">
        <f>IF(Z51="No","",IF(AND(AA51&gt;=Settings!$B$4, Y51="Yes"),"Green",IF(AA51&gt;=Settings!$B$5,"Yellow","Grey")))</f>
        <v/>
      </c>
      <c r="AF51" s="5">
        <f t="shared" si="18"/>
        <v>0</v>
      </c>
      <c r="AG51" s="5">
        <f t="shared" si="19"/>
        <v>0</v>
      </c>
      <c r="AH51" s="3" t="str">
        <f t="shared" si="14"/>
        <v/>
      </c>
      <c r="AI51" s="5" t="str">
        <f>IF(Z51="No","",MIN(100,ROUND((AA51/Settings!$B$7)*Settings!$B$10 + IF(Y51="Yes",Settings!$B$11,0) + IF(E51="",0,E51*Settings!$B$12),0)))</f>
        <v/>
      </c>
      <c r="AJ51" s="4" t="str">
        <f t="shared" si="15"/>
        <v/>
      </c>
      <c r="AK51" s="4"/>
      <c r="AL51" s="4" t="str">
        <f t="shared" si="16"/>
        <v/>
      </c>
      <c r="AM51" s="4" t="str">
        <f t="shared" si="17"/>
        <v/>
      </c>
    </row>
    <row r="52" spans="1:39" x14ac:dyDescent="0.3">
      <c r="A52" s="2">
        <v>46112</v>
      </c>
      <c r="B52" s="3" t="s">
        <v>37</v>
      </c>
      <c r="C52" s="3"/>
      <c r="D52" s="3"/>
      <c r="E52" s="3"/>
      <c r="F52" s="4"/>
      <c r="G52" s="4"/>
      <c r="H52" s="3"/>
      <c r="I52" s="4"/>
      <c r="J52" s="3"/>
      <c r="K52" s="4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 t="str">
        <f t="shared" si="10"/>
        <v>No</v>
      </c>
      <c r="AA52" s="5" t="str">
        <f t="shared" si="11"/>
        <v/>
      </c>
      <c r="AB52" s="6" t="str">
        <f>IF(AA52="","",AA52/Settings!$B$7)</f>
        <v/>
      </c>
      <c r="AC52" s="5" t="str">
        <f t="shared" si="12"/>
        <v/>
      </c>
      <c r="AD52" s="5" t="str">
        <f t="shared" si="13"/>
        <v/>
      </c>
      <c r="AE52" s="3" t="str">
        <f>IF(Z52="No","",IF(AND(AA52&gt;=Settings!$B$4, Y52="Yes"),"Green",IF(AA52&gt;=Settings!$B$5,"Yellow","Grey")))</f>
        <v/>
      </c>
      <c r="AF52" s="5">
        <f t="shared" si="18"/>
        <v>0</v>
      </c>
      <c r="AG52" s="5">
        <f t="shared" si="19"/>
        <v>0</v>
      </c>
      <c r="AH52" s="3" t="str">
        <f t="shared" si="14"/>
        <v/>
      </c>
      <c r="AI52" s="5" t="str">
        <f>IF(Z52="No","",MIN(100,ROUND((AA52/Settings!$B$7)*Settings!$B$10 + IF(Y52="Yes",Settings!$B$11,0) + IF(E52="",0,E52*Settings!$B$12),0)))</f>
        <v/>
      </c>
      <c r="AJ52" s="4" t="str">
        <f t="shared" si="15"/>
        <v/>
      </c>
      <c r="AK52" s="4"/>
      <c r="AL52" s="4" t="str">
        <f t="shared" si="16"/>
        <v/>
      </c>
      <c r="AM52" s="4" t="str">
        <f t="shared" si="17"/>
        <v/>
      </c>
    </row>
    <row r="53" spans="1:39" x14ac:dyDescent="0.3">
      <c r="A53" s="2">
        <v>46113</v>
      </c>
      <c r="B53" s="3" t="s">
        <v>37</v>
      </c>
      <c r="C53" s="3"/>
      <c r="D53" s="3"/>
      <c r="E53" s="3"/>
      <c r="F53" s="4"/>
      <c r="G53" s="4"/>
      <c r="H53" s="3"/>
      <c r="I53" s="4"/>
      <c r="J53" s="3"/>
      <c r="K53" s="4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 t="str">
        <f t="shared" si="10"/>
        <v>No</v>
      </c>
      <c r="AA53" s="5" t="str">
        <f t="shared" si="11"/>
        <v/>
      </c>
      <c r="AB53" s="6" t="str">
        <f>IF(AA53="","",AA53/Settings!$B$7)</f>
        <v/>
      </c>
      <c r="AC53" s="5" t="str">
        <f t="shared" si="12"/>
        <v/>
      </c>
      <c r="AD53" s="5" t="str">
        <f t="shared" si="13"/>
        <v/>
      </c>
      <c r="AE53" s="3" t="str">
        <f>IF(Z53="No","",IF(AND(AA53&gt;=Settings!$B$4, Y53="Yes"),"Green",IF(AA53&gt;=Settings!$B$5,"Yellow","Grey")))</f>
        <v/>
      </c>
      <c r="AF53" s="5">
        <f t="shared" si="18"/>
        <v>0</v>
      </c>
      <c r="AG53" s="5">
        <f t="shared" si="19"/>
        <v>0</v>
      </c>
      <c r="AH53" s="3" t="str">
        <f t="shared" si="14"/>
        <v/>
      </c>
      <c r="AI53" s="5" t="str">
        <f>IF(Z53="No","",MIN(100,ROUND((AA53/Settings!$B$7)*Settings!$B$10 + IF(Y53="Yes",Settings!$B$11,0) + IF(E53="",0,E53*Settings!$B$12),0)))</f>
        <v/>
      </c>
      <c r="AJ53" s="4" t="str">
        <f t="shared" si="15"/>
        <v/>
      </c>
      <c r="AK53" s="4"/>
      <c r="AL53" s="4" t="str">
        <f t="shared" si="16"/>
        <v/>
      </c>
      <c r="AM53" s="4" t="str">
        <f t="shared" si="17"/>
        <v/>
      </c>
    </row>
    <row r="54" spans="1:39" x14ac:dyDescent="0.3">
      <c r="A54" s="2">
        <v>46114</v>
      </c>
      <c r="B54" s="3" t="s">
        <v>37</v>
      </c>
      <c r="C54" s="3"/>
      <c r="D54" s="3"/>
      <c r="E54" s="3"/>
      <c r="F54" s="4"/>
      <c r="G54" s="4"/>
      <c r="H54" s="3"/>
      <c r="I54" s="4"/>
      <c r="J54" s="3"/>
      <c r="K54" s="4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 t="str">
        <f t="shared" si="10"/>
        <v>No</v>
      </c>
      <c r="AA54" s="5" t="str">
        <f t="shared" si="11"/>
        <v/>
      </c>
      <c r="AB54" s="6" t="str">
        <f>IF(AA54="","",AA54/Settings!$B$7)</f>
        <v/>
      </c>
      <c r="AC54" s="5" t="str">
        <f t="shared" si="12"/>
        <v/>
      </c>
      <c r="AD54" s="5" t="str">
        <f t="shared" si="13"/>
        <v/>
      </c>
      <c r="AE54" s="3" t="str">
        <f>IF(Z54="No","",IF(AND(AA54&gt;=Settings!$B$4, Y54="Yes"),"Green",IF(AA54&gt;=Settings!$B$5,"Yellow","Grey")))</f>
        <v/>
      </c>
      <c r="AF54" s="5">
        <f t="shared" si="18"/>
        <v>0</v>
      </c>
      <c r="AG54" s="5">
        <f t="shared" si="19"/>
        <v>0</v>
      </c>
      <c r="AH54" s="3" t="str">
        <f t="shared" si="14"/>
        <v/>
      </c>
      <c r="AI54" s="5" t="str">
        <f>IF(Z54="No","",MIN(100,ROUND((AA54/Settings!$B$7)*Settings!$B$10 + IF(Y54="Yes",Settings!$B$11,0) + IF(E54="",0,E54*Settings!$B$12),0)))</f>
        <v/>
      </c>
      <c r="AJ54" s="4" t="str">
        <f t="shared" si="15"/>
        <v/>
      </c>
      <c r="AK54" s="4"/>
      <c r="AL54" s="4" t="str">
        <f t="shared" si="16"/>
        <v/>
      </c>
      <c r="AM54" s="4" t="str">
        <f t="shared" si="17"/>
        <v/>
      </c>
    </row>
    <row r="55" spans="1:39" x14ac:dyDescent="0.3">
      <c r="A55" s="2">
        <v>46115</v>
      </c>
      <c r="B55" s="3" t="s">
        <v>37</v>
      </c>
      <c r="C55" s="3"/>
      <c r="D55" s="3"/>
      <c r="E55" s="3"/>
      <c r="F55" s="4"/>
      <c r="G55" s="4"/>
      <c r="H55" s="3"/>
      <c r="I55" s="4"/>
      <c r="J55" s="3"/>
      <c r="K55" s="4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 t="str">
        <f t="shared" si="10"/>
        <v>No</v>
      </c>
      <c r="AA55" s="5" t="str">
        <f t="shared" si="11"/>
        <v/>
      </c>
      <c r="AB55" s="6" t="str">
        <f>IF(AA55="","",AA55/Settings!$B$7)</f>
        <v/>
      </c>
      <c r="AC55" s="5" t="str">
        <f t="shared" si="12"/>
        <v/>
      </c>
      <c r="AD55" s="5" t="str">
        <f t="shared" si="13"/>
        <v/>
      </c>
      <c r="AE55" s="3" t="str">
        <f>IF(Z55="No","",IF(AND(AA55&gt;=Settings!$B$4, Y55="Yes"),"Green",IF(AA55&gt;=Settings!$B$5,"Yellow","Grey")))</f>
        <v/>
      </c>
      <c r="AF55" s="5">
        <f t="shared" si="18"/>
        <v>0</v>
      </c>
      <c r="AG55" s="5">
        <f t="shared" si="19"/>
        <v>0</v>
      </c>
      <c r="AH55" s="3" t="str">
        <f t="shared" si="14"/>
        <v/>
      </c>
      <c r="AI55" s="5" t="str">
        <f>IF(Z55="No","",MIN(100,ROUND((AA55/Settings!$B$7)*Settings!$B$10 + IF(Y55="Yes",Settings!$B$11,0) + IF(E55="",0,E55*Settings!$B$12),0)))</f>
        <v/>
      </c>
      <c r="AJ55" s="4" t="str">
        <f t="shared" si="15"/>
        <v/>
      </c>
      <c r="AK55" s="4"/>
      <c r="AL55" s="4" t="str">
        <f t="shared" si="16"/>
        <v/>
      </c>
      <c r="AM55" s="4" t="str">
        <f t="shared" si="17"/>
        <v/>
      </c>
    </row>
    <row r="56" spans="1:39" x14ac:dyDescent="0.3">
      <c r="A56" s="2">
        <v>46116</v>
      </c>
      <c r="B56" s="3" t="s">
        <v>38</v>
      </c>
      <c r="C56" s="3"/>
      <c r="D56" s="3"/>
      <c r="E56" s="3"/>
      <c r="F56" s="4"/>
      <c r="G56" s="4"/>
      <c r="H56" s="3"/>
      <c r="I56" s="4"/>
      <c r="J56" s="3"/>
      <c r="K56" s="4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 t="str">
        <f t="shared" si="10"/>
        <v>No</v>
      </c>
      <c r="AA56" s="5" t="str">
        <f t="shared" si="11"/>
        <v/>
      </c>
      <c r="AB56" s="6" t="str">
        <f>IF(AA56="","",AA56/Settings!$B$7)</f>
        <v/>
      </c>
      <c r="AC56" s="5" t="str">
        <f t="shared" si="12"/>
        <v/>
      </c>
      <c r="AD56" s="5" t="str">
        <f t="shared" si="13"/>
        <v/>
      </c>
      <c r="AE56" s="3" t="str">
        <f>IF(Z56="No","",IF(AND(AA56&gt;=Settings!$B$4, Y56="Yes"),"Green",IF(AA56&gt;=Settings!$B$5,"Yellow","Grey")))</f>
        <v/>
      </c>
      <c r="AF56" s="5">
        <f t="shared" si="18"/>
        <v>0</v>
      </c>
      <c r="AG56" s="5">
        <f t="shared" si="19"/>
        <v>0</v>
      </c>
      <c r="AH56" s="3" t="str">
        <f t="shared" si="14"/>
        <v/>
      </c>
      <c r="AI56" s="5" t="str">
        <f>IF(Z56="No","",MIN(100,ROUND((AA56/Settings!$B$7)*Settings!$B$10 + IF(Y56="Yes",Settings!$B$11,0) + IF(E56="",0,E56*Settings!$B$12),0)))</f>
        <v/>
      </c>
      <c r="AJ56" s="4" t="str">
        <f t="shared" si="15"/>
        <v/>
      </c>
      <c r="AK56" s="4"/>
      <c r="AL56" s="4" t="str">
        <f t="shared" si="16"/>
        <v/>
      </c>
      <c r="AM56" s="4" t="str">
        <f t="shared" si="17"/>
        <v/>
      </c>
    </row>
    <row r="57" spans="1:39" x14ac:dyDescent="0.3">
      <c r="A57" s="2">
        <v>46117</v>
      </c>
      <c r="B57" s="3" t="s">
        <v>38</v>
      </c>
      <c r="C57" s="3"/>
      <c r="D57" s="3"/>
      <c r="E57" s="3"/>
      <c r="F57" s="4"/>
      <c r="G57" s="4"/>
      <c r="H57" s="3"/>
      <c r="I57" s="4"/>
      <c r="J57" s="3"/>
      <c r="K57" s="4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 t="str">
        <f t="shared" si="10"/>
        <v>No</v>
      </c>
      <c r="AA57" s="5" t="str">
        <f t="shared" si="11"/>
        <v/>
      </c>
      <c r="AB57" s="6" t="str">
        <f>IF(AA57="","",AA57/Settings!$B$7)</f>
        <v/>
      </c>
      <c r="AC57" s="5" t="str">
        <f t="shared" si="12"/>
        <v/>
      </c>
      <c r="AD57" s="5" t="str">
        <f t="shared" si="13"/>
        <v/>
      </c>
      <c r="AE57" s="3" t="str">
        <f>IF(Z57="No","",IF(AND(AA57&gt;=Settings!$B$4, Y57="Yes"),"Green",IF(AA57&gt;=Settings!$B$5,"Yellow","Grey")))</f>
        <v/>
      </c>
      <c r="AF57" s="5">
        <f t="shared" si="18"/>
        <v>0</v>
      </c>
      <c r="AG57" s="5">
        <f t="shared" si="19"/>
        <v>0</v>
      </c>
      <c r="AH57" s="3" t="str">
        <f t="shared" si="14"/>
        <v/>
      </c>
      <c r="AI57" s="5" t="str">
        <f>IF(Z57="No","",MIN(100,ROUND((AA57/Settings!$B$7)*Settings!$B$10 + IF(Y57="Yes",Settings!$B$11,0) + IF(E57="",0,E57*Settings!$B$12),0)))</f>
        <v/>
      </c>
      <c r="AJ57" s="4" t="str">
        <f t="shared" si="15"/>
        <v/>
      </c>
      <c r="AK57" s="4"/>
      <c r="AL57" s="4" t="str">
        <f t="shared" si="16"/>
        <v/>
      </c>
      <c r="AM57" s="4" t="str">
        <f t="shared" si="17"/>
        <v/>
      </c>
    </row>
    <row r="58" spans="1:39" x14ac:dyDescent="0.3">
      <c r="A58" s="2">
        <v>46118</v>
      </c>
      <c r="B58" s="3" t="s">
        <v>37</v>
      </c>
      <c r="C58" s="3"/>
      <c r="D58" s="3"/>
      <c r="E58" s="3"/>
      <c r="F58" s="4"/>
      <c r="G58" s="4"/>
      <c r="H58" s="3"/>
      <c r="I58" s="4"/>
      <c r="J58" s="3"/>
      <c r="K58" s="4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 t="str">
        <f t="shared" si="10"/>
        <v>No</v>
      </c>
      <c r="AA58" s="5" t="str">
        <f t="shared" si="11"/>
        <v/>
      </c>
      <c r="AB58" s="6" t="str">
        <f>IF(AA58="","",AA58/Settings!$B$7)</f>
        <v/>
      </c>
      <c r="AC58" s="5" t="str">
        <f t="shared" si="12"/>
        <v/>
      </c>
      <c r="AD58" s="5" t="str">
        <f t="shared" si="13"/>
        <v/>
      </c>
      <c r="AE58" s="3" t="str">
        <f>IF(Z58="No","",IF(AND(AA58&gt;=Settings!$B$4, Y58="Yes"),"Green",IF(AA58&gt;=Settings!$B$5,"Yellow","Grey")))</f>
        <v/>
      </c>
      <c r="AF58" s="5">
        <f t="shared" si="18"/>
        <v>0</v>
      </c>
      <c r="AG58" s="5">
        <f t="shared" si="19"/>
        <v>0</v>
      </c>
      <c r="AH58" s="3" t="str">
        <f t="shared" si="14"/>
        <v/>
      </c>
      <c r="AI58" s="5" t="str">
        <f>IF(Z58="No","",MIN(100,ROUND((AA58/Settings!$B$7)*Settings!$B$10 + IF(Y58="Yes",Settings!$B$11,0) + IF(E58="",0,E58*Settings!$B$12),0)))</f>
        <v/>
      </c>
      <c r="AJ58" s="4" t="str">
        <f t="shared" si="15"/>
        <v/>
      </c>
      <c r="AK58" s="4"/>
      <c r="AL58" s="4" t="str">
        <f t="shared" si="16"/>
        <v/>
      </c>
      <c r="AM58" s="4" t="str">
        <f t="shared" si="17"/>
        <v/>
      </c>
    </row>
    <row r="59" spans="1:39" x14ac:dyDescent="0.3">
      <c r="A59" s="2">
        <v>46119</v>
      </c>
      <c r="B59" s="3" t="s">
        <v>37</v>
      </c>
      <c r="C59" s="3"/>
      <c r="D59" s="3"/>
      <c r="E59" s="3"/>
      <c r="F59" s="4"/>
      <c r="G59" s="4"/>
      <c r="H59" s="3"/>
      <c r="I59" s="4"/>
      <c r="J59" s="3"/>
      <c r="K59" s="4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 t="str">
        <f t="shared" si="10"/>
        <v>No</v>
      </c>
      <c r="AA59" s="5" t="str">
        <f t="shared" si="11"/>
        <v/>
      </c>
      <c r="AB59" s="6" t="str">
        <f>IF(AA59="","",AA59/Settings!$B$7)</f>
        <v/>
      </c>
      <c r="AC59" s="5" t="str">
        <f t="shared" si="12"/>
        <v/>
      </c>
      <c r="AD59" s="5" t="str">
        <f t="shared" si="13"/>
        <v/>
      </c>
      <c r="AE59" s="3" t="str">
        <f>IF(Z59="No","",IF(AND(AA59&gt;=Settings!$B$4, Y59="Yes"),"Green",IF(AA59&gt;=Settings!$B$5,"Yellow","Grey")))</f>
        <v/>
      </c>
      <c r="AF59" s="5">
        <f t="shared" si="18"/>
        <v>0</v>
      </c>
      <c r="AG59" s="5">
        <f t="shared" si="19"/>
        <v>0</v>
      </c>
      <c r="AH59" s="3" t="str">
        <f t="shared" si="14"/>
        <v/>
      </c>
      <c r="AI59" s="5" t="str">
        <f>IF(Z59="No","",MIN(100,ROUND((AA59/Settings!$B$7)*Settings!$B$10 + IF(Y59="Yes",Settings!$B$11,0) + IF(E59="",0,E59*Settings!$B$12),0)))</f>
        <v/>
      </c>
      <c r="AJ59" s="4" t="str">
        <f t="shared" si="15"/>
        <v/>
      </c>
      <c r="AK59" s="4"/>
      <c r="AL59" s="4" t="str">
        <f t="shared" si="16"/>
        <v/>
      </c>
      <c r="AM59" s="4" t="str">
        <f t="shared" si="17"/>
        <v/>
      </c>
    </row>
    <row r="60" spans="1:39" x14ac:dyDescent="0.3">
      <c r="A60" s="2">
        <v>46120</v>
      </c>
      <c r="B60" s="3" t="s">
        <v>37</v>
      </c>
      <c r="C60" s="3"/>
      <c r="D60" s="3"/>
      <c r="E60" s="3"/>
      <c r="F60" s="4"/>
      <c r="G60" s="4"/>
      <c r="H60" s="3"/>
      <c r="I60" s="4"/>
      <c r="J60" s="3"/>
      <c r="K60" s="4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 t="str">
        <f t="shared" si="10"/>
        <v>No</v>
      </c>
      <c r="AA60" s="5" t="str">
        <f t="shared" si="11"/>
        <v/>
      </c>
      <c r="AB60" s="6" t="str">
        <f>IF(AA60="","",AA60/Settings!$B$7)</f>
        <v/>
      </c>
      <c r="AC60" s="5" t="str">
        <f t="shared" si="12"/>
        <v/>
      </c>
      <c r="AD60" s="5" t="str">
        <f t="shared" si="13"/>
        <v/>
      </c>
      <c r="AE60" s="3" t="str">
        <f>IF(Z60="No","",IF(AND(AA60&gt;=Settings!$B$4, Y60="Yes"),"Green",IF(AA60&gt;=Settings!$B$5,"Yellow","Grey")))</f>
        <v/>
      </c>
      <c r="AF60" s="5">
        <f t="shared" si="18"/>
        <v>0</v>
      </c>
      <c r="AG60" s="5">
        <f t="shared" si="19"/>
        <v>0</v>
      </c>
      <c r="AH60" s="3" t="str">
        <f t="shared" si="14"/>
        <v/>
      </c>
      <c r="AI60" s="5" t="str">
        <f>IF(Z60="No","",MIN(100,ROUND((AA60/Settings!$B$7)*Settings!$B$10 + IF(Y60="Yes",Settings!$B$11,0) + IF(E60="",0,E60*Settings!$B$12),0)))</f>
        <v/>
      </c>
      <c r="AJ60" s="4" t="str">
        <f t="shared" si="15"/>
        <v/>
      </c>
      <c r="AK60" s="4"/>
      <c r="AL60" s="4" t="str">
        <f t="shared" si="16"/>
        <v/>
      </c>
      <c r="AM60" s="4" t="str">
        <f t="shared" si="17"/>
        <v/>
      </c>
    </row>
    <row r="61" spans="1:39" x14ac:dyDescent="0.3">
      <c r="A61" s="2">
        <v>46121</v>
      </c>
      <c r="B61" s="3" t="s">
        <v>37</v>
      </c>
      <c r="C61" s="3"/>
      <c r="D61" s="3"/>
      <c r="E61" s="3"/>
      <c r="F61" s="4"/>
      <c r="G61" s="4"/>
      <c r="H61" s="3"/>
      <c r="I61" s="4"/>
      <c r="J61" s="3"/>
      <c r="K61" s="4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 t="str">
        <f t="shared" si="10"/>
        <v>No</v>
      </c>
      <c r="AA61" s="5" t="str">
        <f t="shared" si="11"/>
        <v/>
      </c>
      <c r="AB61" s="6" t="str">
        <f>IF(AA61="","",AA61/Settings!$B$7)</f>
        <v/>
      </c>
      <c r="AC61" s="5" t="str">
        <f t="shared" si="12"/>
        <v/>
      </c>
      <c r="AD61" s="5" t="str">
        <f t="shared" si="13"/>
        <v/>
      </c>
      <c r="AE61" s="3" t="str">
        <f>IF(Z61="No","",IF(AND(AA61&gt;=Settings!$B$4, Y61="Yes"),"Green",IF(AA61&gt;=Settings!$B$5,"Yellow","Grey")))</f>
        <v/>
      </c>
      <c r="AF61" s="5">
        <f t="shared" si="18"/>
        <v>0</v>
      </c>
      <c r="AG61" s="5">
        <f t="shared" si="19"/>
        <v>0</v>
      </c>
      <c r="AH61" s="3" t="str">
        <f t="shared" si="14"/>
        <v/>
      </c>
      <c r="AI61" s="5" t="str">
        <f>IF(Z61="No","",MIN(100,ROUND((AA61/Settings!$B$7)*Settings!$B$10 + IF(Y61="Yes",Settings!$B$11,0) + IF(E61="",0,E61*Settings!$B$12),0)))</f>
        <v/>
      </c>
      <c r="AJ61" s="4" t="str">
        <f t="shared" si="15"/>
        <v/>
      </c>
      <c r="AK61" s="4"/>
      <c r="AL61" s="4" t="str">
        <f t="shared" si="16"/>
        <v/>
      </c>
      <c r="AM61" s="4" t="str">
        <f t="shared" si="17"/>
        <v/>
      </c>
    </row>
    <row r="62" spans="1:39" x14ac:dyDescent="0.3">
      <c r="A62" s="2">
        <v>46122</v>
      </c>
      <c r="B62" s="3" t="s">
        <v>37</v>
      </c>
      <c r="C62" s="3"/>
      <c r="D62" s="3"/>
      <c r="E62" s="3"/>
      <c r="F62" s="4"/>
      <c r="G62" s="4"/>
      <c r="H62" s="3"/>
      <c r="I62" s="4"/>
      <c r="J62" s="3"/>
      <c r="K62" s="4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 t="str">
        <f t="shared" si="10"/>
        <v>No</v>
      </c>
      <c r="AA62" s="5" t="str">
        <f t="shared" si="11"/>
        <v/>
      </c>
      <c r="AB62" s="6" t="str">
        <f>IF(AA62="","",AA62/Settings!$B$7)</f>
        <v/>
      </c>
      <c r="AC62" s="5" t="str">
        <f t="shared" si="12"/>
        <v/>
      </c>
      <c r="AD62" s="5" t="str">
        <f t="shared" si="13"/>
        <v/>
      </c>
      <c r="AE62" s="3" t="str">
        <f>IF(Z62="No","",IF(AND(AA62&gt;=Settings!$B$4, Y62="Yes"),"Green",IF(AA62&gt;=Settings!$B$5,"Yellow","Grey")))</f>
        <v/>
      </c>
      <c r="AF62" s="5">
        <f t="shared" si="18"/>
        <v>0</v>
      </c>
      <c r="AG62" s="5">
        <f t="shared" si="19"/>
        <v>0</v>
      </c>
      <c r="AH62" s="3" t="str">
        <f t="shared" si="14"/>
        <v/>
      </c>
      <c r="AI62" s="5" t="str">
        <f>IF(Z62="No","",MIN(100,ROUND((AA62/Settings!$B$7)*Settings!$B$10 + IF(Y62="Yes",Settings!$B$11,0) + IF(E62="",0,E62*Settings!$B$12),0)))</f>
        <v/>
      </c>
      <c r="AJ62" s="4" t="str">
        <f t="shared" si="15"/>
        <v/>
      </c>
      <c r="AK62" s="4"/>
      <c r="AL62" s="4" t="str">
        <f t="shared" si="16"/>
        <v/>
      </c>
      <c r="AM62" s="4" t="str">
        <f t="shared" si="17"/>
        <v/>
      </c>
    </row>
    <row r="63" spans="1:39" x14ac:dyDescent="0.3">
      <c r="A63" s="2">
        <v>46123</v>
      </c>
      <c r="B63" s="3" t="s">
        <v>38</v>
      </c>
      <c r="C63" s="3"/>
      <c r="D63" s="3"/>
      <c r="E63" s="3"/>
      <c r="F63" s="4"/>
      <c r="G63" s="4"/>
      <c r="H63" s="3"/>
      <c r="I63" s="4"/>
      <c r="J63" s="3"/>
      <c r="K63" s="4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 t="str">
        <f t="shared" si="10"/>
        <v>No</v>
      </c>
      <c r="AA63" s="5" t="str">
        <f t="shared" si="11"/>
        <v/>
      </c>
      <c r="AB63" s="6" t="str">
        <f>IF(AA63="","",AA63/Settings!$B$7)</f>
        <v/>
      </c>
      <c r="AC63" s="5" t="str">
        <f t="shared" si="12"/>
        <v/>
      </c>
      <c r="AD63" s="5" t="str">
        <f t="shared" si="13"/>
        <v/>
      </c>
      <c r="AE63" s="3" t="str">
        <f>IF(Z63="No","",IF(AND(AA63&gt;=Settings!$B$4, Y63="Yes"),"Green",IF(AA63&gt;=Settings!$B$5,"Yellow","Grey")))</f>
        <v/>
      </c>
      <c r="AF63" s="5">
        <f t="shared" si="18"/>
        <v>0</v>
      </c>
      <c r="AG63" s="5">
        <f t="shared" si="19"/>
        <v>0</v>
      </c>
      <c r="AH63" s="3" t="str">
        <f t="shared" si="14"/>
        <v/>
      </c>
      <c r="AI63" s="5" t="str">
        <f>IF(Z63="No","",MIN(100,ROUND((AA63/Settings!$B$7)*Settings!$B$10 + IF(Y63="Yes",Settings!$B$11,0) + IF(E63="",0,E63*Settings!$B$12),0)))</f>
        <v/>
      </c>
      <c r="AJ63" s="4" t="str">
        <f t="shared" si="15"/>
        <v/>
      </c>
      <c r="AK63" s="4"/>
      <c r="AL63" s="4" t="str">
        <f t="shared" si="16"/>
        <v/>
      </c>
      <c r="AM63" s="4" t="str">
        <f t="shared" si="17"/>
        <v/>
      </c>
    </row>
    <row r="64" spans="1:39" x14ac:dyDescent="0.3">
      <c r="A64" s="2">
        <v>46124</v>
      </c>
      <c r="B64" s="3" t="s">
        <v>38</v>
      </c>
      <c r="C64" s="3"/>
      <c r="D64" s="3"/>
      <c r="E64" s="3"/>
      <c r="F64" s="4"/>
      <c r="G64" s="4"/>
      <c r="H64" s="3"/>
      <c r="I64" s="4"/>
      <c r="J64" s="3"/>
      <c r="K64" s="4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 t="str">
        <f t="shared" si="10"/>
        <v>No</v>
      </c>
      <c r="AA64" s="5" t="str">
        <f t="shared" si="11"/>
        <v/>
      </c>
      <c r="AB64" s="6" t="str">
        <f>IF(AA64="","",AA64/Settings!$B$7)</f>
        <v/>
      </c>
      <c r="AC64" s="5" t="str">
        <f t="shared" si="12"/>
        <v/>
      </c>
      <c r="AD64" s="5" t="str">
        <f t="shared" si="13"/>
        <v/>
      </c>
      <c r="AE64" s="3" t="str">
        <f>IF(Z64="No","",IF(AND(AA64&gt;=Settings!$B$4, Y64="Yes"),"Green",IF(AA64&gt;=Settings!$B$5,"Yellow","Grey")))</f>
        <v/>
      </c>
      <c r="AF64" s="5">
        <f t="shared" si="18"/>
        <v>0</v>
      </c>
      <c r="AG64" s="5">
        <f t="shared" si="19"/>
        <v>0</v>
      </c>
      <c r="AH64" s="3" t="str">
        <f t="shared" si="14"/>
        <v/>
      </c>
      <c r="AI64" s="5" t="str">
        <f>IF(Z64="No","",MIN(100,ROUND((AA64/Settings!$B$7)*Settings!$B$10 + IF(Y64="Yes",Settings!$B$11,0) + IF(E64="",0,E64*Settings!$B$12),0)))</f>
        <v/>
      </c>
      <c r="AJ64" s="4" t="str">
        <f t="shared" si="15"/>
        <v/>
      </c>
      <c r="AK64" s="4"/>
      <c r="AL64" s="4" t="str">
        <f t="shared" si="16"/>
        <v/>
      </c>
      <c r="AM64" s="4" t="str">
        <f t="shared" si="17"/>
        <v/>
      </c>
    </row>
    <row r="65" spans="1:39" x14ac:dyDescent="0.3">
      <c r="A65" s="2">
        <v>46125</v>
      </c>
      <c r="B65" s="3" t="s">
        <v>37</v>
      </c>
      <c r="C65" s="3"/>
      <c r="D65" s="3"/>
      <c r="E65" s="3"/>
      <c r="F65" s="4"/>
      <c r="G65" s="4"/>
      <c r="H65" s="3"/>
      <c r="I65" s="4"/>
      <c r="J65" s="3"/>
      <c r="K65" s="4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 t="str">
        <f t="shared" si="10"/>
        <v>No</v>
      </c>
      <c r="AA65" s="5" t="str">
        <f t="shared" si="11"/>
        <v/>
      </c>
      <c r="AB65" s="6" t="str">
        <f>IF(AA65="","",AA65/Settings!$B$7)</f>
        <v/>
      </c>
      <c r="AC65" s="5" t="str">
        <f t="shared" si="12"/>
        <v/>
      </c>
      <c r="AD65" s="5" t="str">
        <f t="shared" si="13"/>
        <v/>
      </c>
      <c r="AE65" s="3" t="str">
        <f>IF(Z65="No","",IF(AND(AA65&gt;=Settings!$B$4, Y65="Yes"),"Green",IF(AA65&gt;=Settings!$B$5,"Yellow","Grey")))</f>
        <v/>
      </c>
      <c r="AF65" s="5">
        <f t="shared" si="18"/>
        <v>0</v>
      </c>
      <c r="AG65" s="5">
        <f t="shared" si="19"/>
        <v>0</v>
      </c>
      <c r="AH65" s="3" t="str">
        <f t="shared" si="14"/>
        <v/>
      </c>
      <c r="AI65" s="5" t="str">
        <f>IF(Z65="No","",MIN(100,ROUND((AA65/Settings!$B$7)*Settings!$B$10 + IF(Y65="Yes",Settings!$B$11,0) + IF(E65="",0,E65*Settings!$B$12),0)))</f>
        <v/>
      </c>
      <c r="AJ65" s="4" t="str">
        <f t="shared" si="15"/>
        <v/>
      </c>
      <c r="AK65" s="4"/>
      <c r="AL65" s="4" t="str">
        <f t="shared" si="16"/>
        <v/>
      </c>
      <c r="AM65" s="4" t="str">
        <f t="shared" si="17"/>
        <v/>
      </c>
    </row>
    <row r="66" spans="1:39" x14ac:dyDescent="0.3">
      <c r="A66" s="2">
        <v>46126</v>
      </c>
      <c r="B66" s="3" t="s">
        <v>37</v>
      </c>
      <c r="C66" s="3"/>
      <c r="D66" s="3"/>
      <c r="E66" s="3"/>
      <c r="F66" s="4"/>
      <c r="G66" s="4"/>
      <c r="H66" s="3"/>
      <c r="I66" s="4"/>
      <c r="J66" s="3"/>
      <c r="K66" s="4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 t="str">
        <f t="shared" ref="Z66:Z97" si="20">IF(COUNTA(C66:Y66)&gt;0,"Yes","No")</f>
        <v>No</v>
      </c>
      <c r="AA66" s="5" t="str">
        <f t="shared" ref="AA66:AA97" si="21">IF(Z66="No","",COUNTIF(M66:X66,"✅"))</f>
        <v/>
      </c>
      <c r="AB66" s="6" t="str">
        <f>IF(AA66="","",AA66/Settings!$B$7)</f>
        <v/>
      </c>
      <c r="AC66" s="5" t="str">
        <f t="shared" ref="AC66:AC97" si="22">IF(Z66="No","",COUNTIF(H66,"✅")+COUNTIF(J66,"✅")+COUNTIF(L66,"✅"))</f>
        <v/>
      </c>
      <c r="AD66" s="5" t="str">
        <f t="shared" ref="AD66:AD97" si="23">IF(AA66="","",AA66+AC66)</f>
        <v/>
      </c>
      <c r="AE66" s="3" t="str">
        <f>IF(Z66="No","",IF(AND(AA66&gt;=Settings!$B$4, Y66="Yes"),"Green",IF(AA66&gt;=Settings!$B$5,"Yellow","Grey")))</f>
        <v/>
      </c>
      <c r="AF66" s="5">
        <f t="shared" si="18"/>
        <v>0</v>
      </c>
      <c r="AG66" s="5">
        <f t="shared" si="19"/>
        <v>0</v>
      </c>
      <c r="AH66" s="3" t="str">
        <f t="shared" ref="AH66:AH97" si="24">IF(AG66&gt;=2,"ALERT","")</f>
        <v/>
      </c>
      <c r="AI66" s="5" t="str">
        <f>IF(Z66="No","",MIN(100,ROUND((AA66/Settings!$B$7)*Settings!$B$10 + IF(Y66="Yes",Settings!$B$11,0) + IF(E66="",0,E66*Settings!$B$12),0)))</f>
        <v/>
      </c>
      <c r="AJ66" s="4" t="str">
        <f t="shared" ref="AJ66:AJ97" si="25">IF(Z66="No","",IF(M66="❌","Sleep; ","")&amp;IF(N66="❌","No Snooze; ","")&amp;IF(O66="❌","Water; ","")&amp;IF(P66="❌","Gratitude; ","")&amp;IF(Q66="❌","Meditation; ","")&amp;IF(R66="❌","Exercise; ","")&amp;IF(S66="❌","Plan Day; ","")&amp;IF(T66="❌","Deep Work; ","")&amp;IF(U66="❌","One-Tab; ","")&amp;IF(V66="❌","Writing; ","")&amp;IF(W66="❌","Reading; ","")&amp;IF(X66="❌","Tidy; ",""))</f>
        <v/>
      </c>
      <c r="AK66" s="4"/>
      <c r="AL66" s="4" t="str">
        <f t="shared" ref="AL66:AL97" si="26">IF(Z66="No","",IF(AND(G66&lt;&gt;"",H66&lt;&gt;"✅"),G66&amp;"; ","")&amp;IF(AND(I66&lt;&gt;"",J66&lt;&gt;"✅"),I66&amp;"; ","")&amp;IF(AND(K66&lt;&gt;"",L66&lt;&gt;"✅"),K66&amp;"; ",""))</f>
        <v/>
      </c>
      <c r="AM66" s="4" t="str">
        <f t="shared" ref="AM66:AM97" si="27">IF(Z66="No","",AJ66&amp;AL66)</f>
        <v/>
      </c>
    </row>
    <row r="67" spans="1:39" x14ac:dyDescent="0.3">
      <c r="A67" s="2">
        <v>46127</v>
      </c>
      <c r="B67" s="3" t="s">
        <v>37</v>
      </c>
      <c r="C67" s="3"/>
      <c r="D67" s="3"/>
      <c r="E67" s="3"/>
      <c r="F67" s="4"/>
      <c r="G67" s="4"/>
      <c r="H67" s="3"/>
      <c r="I67" s="4"/>
      <c r="J67" s="3"/>
      <c r="K67" s="4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 t="str">
        <f t="shared" si="20"/>
        <v>No</v>
      </c>
      <c r="AA67" s="5" t="str">
        <f t="shared" si="21"/>
        <v/>
      </c>
      <c r="AB67" s="6" t="str">
        <f>IF(AA67="","",AA67/Settings!$B$7)</f>
        <v/>
      </c>
      <c r="AC67" s="5" t="str">
        <f t="shared" si="22"/>
        <v/>
      </c>
      <c r="AD67" s="5" t="str">
        <f t="shared" si="23"/>
        <v/>
      </c>
      <c r="AE67" s="3" t="str">
        <f>IF(Z67="No","",IF(AND(AA67&gt;=Settings!$B$4, Y67="Yes"),"Green",IF(AA67&gt;=Settings!$B$5,"Yellow","Grey")))</f>
        <v/>
      </c>
      <c r="AF67" s="5">
        <f t="shared" ref="AF67:AF98" si="28">IF(AE67="Green",AF66+1,0)</f>
        <v>0</v>
      </c>
      <c r="AG67" s="5">
        <f t="shared" ref="AG67:AG98" si="29">IF(AE67="Grey",AG66+1,0)</f>
        <v>0</v>
      </c>
      <c r="AH67" s="3" t="str">
        <f t="shared" si="24"/>
        <v/>
      </c>
      <c r="AI67" s="5" t="str">
        <f>IF(Z67="No","",MIN(100,ROUND((AA67/Settings!$B$7)*Settings!$B$10 + IF(Y67="Yes",Settings!$B$11,0) + IF(E67="",0,E67*Settings!$B$12),0)))</f>
        <v/>
      </c>
      <c r="AJ67" s="4" t="str">
        <f t="shared" si="25"/>
        <v/>
      </c>
      <c r="AK67" s="4"/>
      <c r="AL67" s="4" t="str">
        <f t="shared" si="26"/>
        <v/>
      </c>
      <c r="AM67" s="4" t="str">
        <f t="shared" si="27"/>
        <v/>
      </c>
    </row>
    <row r="68" spans="1:39" x14ac:dyDescent="0.3">
      <c r="A68" s="2">
        <v>46128</v>
      </c>
      <c r="B68" s="3" t="s">
        <v>37</v>
      </c>
      <c r="C68" s="3"/>
      <c r="D68" s="3"/>
      <c r="E68" s="3"/>
      <c r="F68" s="4"/>
      <c r="G68" s="4"/>
      <c r="H68" s="3"/>
      <c r="I68" s="4"/>
      <c r="J68" s="3"/>
      <c r="K68" s="4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 t="str">
        <f t="shared" si="20"/>
        <v>No</v>
      </c>
      <c r="AA68" s="5" t="str">
        <f t="shared" si="21"/>
        <v/>
      </c>
      <c r="AB68" s="6" t="str">
        <f>IF(AA68="","",AA68/Settings!$B$7)</f>
        <v/>
      </c>
      <c r="AC68" s="5" t="str">
        <f t="shared" si="22"/>
        <v/>
      </c>
      <c r="AD68" s="5" t="str">
        <f t="shared" si="23"/>
        <v/>
      </c>
      <c r="AE68" s="3" t="str">
        <f>IF(Z68="No","",IF(AND(AA68&gt;=Settings!$B$4, Y68="Yes"),"Green",IF(AA68&gt;=Settings!$B$5,"Yellow","Grey")))</f>
        <v/>
      </c>
      <c r="AF68" s="5">
        <f t="shared" si="28"/>
        <v>0</v>
      </c>
      <c r="AG68" s="5">
        <f t="shared" si="29"/>
        <v>0</v>
      </c>
      <c r="AH68" s="3" t="str">
        <f t="shared" si="24"/>
        <v/>
      </c>
      <c r="AI68" s="5" t="str">
        <f>IF(Z68="No","",MIN(100,ROUND((AA68/Settings!$B$7)*Settings!$B$10 + IF(Y68="Yes",Settings!$B$11,0) + IF(E68="",0,E68*Settings!$B$12),0)))</f>
        <v/>
      </c>
      <c r="AJ68" s="4" t="str">
        <f t="shared" si="25"/>
        <v/>
      </c>
      <c r="AK68" s="4"/>
      <c r="AL68" s="4" t="str">
        <f t="shared" si="26"/>
        <v/>
      </c>
      <c r="AM68" s="4" t="str">
        <f t="shared" si="27"/>
        <v/>
      </c>
    </row>
    <row r="69" spans="1:39" x14ac:dyDescent="0.3">
      <c r="A69" s="2">
        <v>46129</v>
      </c>
      <c r="B69" s="3" t="s">
        <v>37</v>
      </c>
      <c r="C69" s="3"/>
      <c r="D69" s="3"/>
      <c r="E69" s="3"/>
      <c r="F69" s="4"/>
      <c r="G69" s="4"/>
      <c r="H69" s="3"/>
      <c r="I69" s="4"/>
      <c r="J69" s="3"/>
      <c r="K69" s="4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 t="str">
        <f t="shared" si="20"/>
        <v>No</v>
      </c>
      <c r="AA69" s="5" t="str">
        <f t="shared" si="21"/>
        <v/>
      </c>
      <c r="AB69" s="6" t="str">
        <f>IF(AA69="","",AA69/Settings!$B$7)</f>
        <v/>
      </c>
      <c r="AC69" s="5" t="str">
        <f t="shared" si="22"/>
        <v/>
      </c>
      <c r="AD69" s="5" t="str">
        <f t="shared" si="23"/>
        <v/>
      </c>
      <c r="AE69" s="3" t="str">
        <f>IF(Z69="No","",IF(AND(AA69&gt;=Settings!$B$4, Y69="Yes"),"Green",IF(AA69&gt;=Settings!$B$5,"Yellow","Grey")))</f>
        <v/>
      </c>
      <c r="AF69" s="5">
        <f t="shared" si="28"/>
        <v>0</v>
      </c>
      <c r="AG69" s="5">
        <f t="shared" si="29"/>
        <v>0</v>
      </c>
      <c r="AH69" s="3" t="str">
        <f t="shared" si="24"/>
        <v/>
      </c>
      <c r="AI69" s="5" t="str">
        <f>IF(Z69="No","",MIN(100,ROUND((AA69/Settings!$B$7)*Settings!$B$10 + IF(Y69="Yes",Settings!$B$11,0) + IF(E69="",0,E69*Settings!$B$12),0)))</f>
        <v/>
      </c>
      <c r="AJ69" s="4" t="str">
        <f t="shared" si="25"/>
        <v/>
      </c>
      <c r="AK69" s="4"/>
      <c r="AL69" s="4" t="str">
        <f t="shared" si="26"/>
        <v/>
      </c>
      <c r="AM69" s="4" t="str">
        <f t="shared" si="27"/>
        <v/>
      </c>
    </row>
    <row r="70" spans="1:39" x14ac:dyDescent="0.3">
      <c r="A70" s="2">
        <v>46130</v>
      </c>
      <c r="B70" s="3" t="s">
        <v>38</v>
      </c>
      <c r="C70" s="3"/>
      <c r="D70" s="3"/>
      <c r="E70" s="3"/>
      <c r="F70" s="4"/>
      <c r="G70" s="4"/>
      <c r="H70" s="3"/>
      <c r="I70" s="4"/>
      <c r="J70" s="3"/>
      <c r="K70" s="4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 t="str">
        <f t="shared" si="20"/>
        <v>No</v>
      </c>
      <c r="AA70" s="5" t="str">
        <f t="shared" si="21"/>
        <v/>
      </c>
      <c r="AB70" s="6" t="str">
        <f>IF(AA70="","",AA70/Settings!$B$7)</f>
        <v/>
      </c>
      <c r="AC70" s="5" t="str">
        <f t="shared" si="22"/>
        <v/>
      </c>
      <c r="AD70" s="5" t="str">
        <f t="shared" si="23"/>
        <v/>
      </c>
      <c r="AE70" s="3" t="str">
        <f>IF(Z70="No","",IF(AND(AA70&gt;=Settings!$B$4, Y70="Yes"),"Green",IF(AA70&gt;=Settings!$B$5,"Yellow","Grey")))</f>
        <v/>
      </c>
      <c r="AF70" s="5">
        <f t="shared" si="28"/>
        <v>0</v>
      </c>
      <c r="AG70" s="5">
        <f t="shared" si="29"/>
        <v>0</v>
      </c>
      <c r="AH70" s="3" t="str">
        <f t="shared" si="24"/>
        <v/>
      </c>
      <c r="AI70" s="5" t="str">
        <f>IF(Z70="No","",MIN(100,ROUND((AA70/Settings!$B$7)*Settings!$B$10 + IF(Y70="Yes",Settings!$B$11,0) + IF(E70="",0,E70*Settings!$B$12),0)))</f>
        <v/>
      </c>
      <c r="AJ70" s="4" t="str">
        <f t="shared" si="25"/>
        <v/>
      </c>
      <c r="AK70" s="4"/>
      <c r="AL70" s="4" t="str">
        <f t="shared" si="26"/>
        <v/>
      </c>
      <c r="AM70" s="4" t="str">
        <f t="shared" si="27"/>
        <v/>
      </c>
    </row>
    <row r="71" spans="1:39" x14ac:dyDescent="0.3">
      <c r="A71" s="2">
        <v>46131</v>
      </c>
      <c r="B71" s="3" t="s">
        <v>38</v>
      </c>
      <c r="C71" s="3"/>
      <c r="D71" s="3"/>
      <c r="E71" s="3"/>
      <c r="F71" s="4"/>
      <c r="G71" s="4"/>
      <c r="H71" s="3"/>
      <c r="I71" s="4"/>
      <c r="J71" s="3"/>
      <c r="K71" s="4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 t="str">
        <f t="shared" si="20"/>
        <v>No</v>
      </c>
      <c r="AA71" s="5" t="str">
        <f t="shared" si="21"/>
        <v/>
      </c>
      <c r="AB71" s="6" t="str">
        <f>IF(AA71="","",AA71/Settings!$B$7)</f>
        <v/>
      </c>
      <c r="AC71" s="5" t="str">
        <f t="shared" si="22"/>
        <v/>
      </c>
      <c r="AD71" s="5" t="str">
        <f t="shared" si="23"/>
        <v/>
      </c>
      <c r="AE71" s="3" t="str">
        <f>IF(Z71="No","",IF(AND(AA71&gt;=Settings!$B$4, Y71="Yes"),"Green",IF(AA71&gt;=Settings!$B$5,"Yellow","Grey")))</f>
        <v/>
      </c>
      <c r="AF71" s="5">
        <f t="shared" si="28"/>
        <v>0</v>
      </c>
      <c r="AG71" s="5">
        <f t="shared" si="29"/>
        <v>0</v>
      </c>
      <c r="AH71" s="3" t="str">
        <f t="shared" si="24"/>
        <v/>
      </c>
      <c r="AI71" s="5" t="str">
        <f>IF(Z71="No","",MIN(100,ROUND((AA71/Settings!$B$7)*Settings!$B$10 + IF(Y71="Yes",Settings!$B$11,0) + IF(E71="",0,E71*Settings!$B$12),0)))</f>
        <v/>
      </c>
      <c r="AJ71" s="4" t="str">
        <f t="shared" si="25"/>
        <v/>
      </c>
      <c r="AK71" s="4"/>
      <c r="AL71" s="4" t="str">
        <f t="shared" si="26"/>
        <v/>
      </c>
      <c r="AM71" s="4" t="str">
        <f t="shared" si="27"/>
        <v/>
      </c>
    </row>
    <row r="72" spans="1:39" x14ac:dyDescent="0.3">
      <c r="A72" s="2">
        <v>46132</v>
      </c>
      <c r="B72" s="3" t="s">
        <v>37</v>
      </c>
      <c r="C72" s="3"/>
      <c r="D72" s="3"/>
      <c r="E72" s="3"/>
      <c r="F72" s="4"/>
      <c r="G72" s="4"/>
      <c r="H72" s="3"/>
      <c r="I72" s="4"/>
      <c r="J72" s="3"/>
      <c r="K72" s="4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 t="str">
        <f t="shared" si="20"/>
        <v>No</v>
      </c>
      <c r="AA72" s="5" t="str">
        <f t="shared" si="21"/>
        <v/>
      </c>
      <c r="AB72" s="6" t="str">
        <f>IF(AA72="","",AA72/Settings!$B$7)</f>
        <v/>
      </c>
      <c r="AC72" s="5" t="str">
        <f t="shared" si="22"/>
        <v/>
      </c>
      <c r="AD72" s="5" t="str">
        <f t="shared" si="23"/>
        <v/>
      </c>
      <c r="AE72" s="3" t="str">
        <f>IF(Z72="No","",IF(AND(AA72&gt;=Settings!$B$4, Y72="Yes"),"Green",IF(AA72&gt;=Settings!$B$5,"Yellow","Grey")))</f>
        <v/>
      </c>
      <c r="AF72" s="5">
        <f t="shared" si="28"/>
        <v>0</v>
      </c>
      <c r="AG72" s="5">
        <f t="shared" si="29"/>
        <v>0</v>
      </c>
      <c r="AH72" s="3" t="str">
        <f t="shared" si="24"/>
        <v/>
      </c>
      <c r="AI72" s="5" t="str">
        <f>IF(Z72="No","",MIN(100,ROUND((AA72/Settings!$B$7)*Settings!$B$10 + IF(Y72="Yes",Settings!$B$11,0) + IF(E72="",0,E72*Settings!$B$12),0)))</f>
        <v/>
      </c>
      <c r="AJ72" s="4" t="str">
        <f t="shared" si="25"/>
        <v/>
      </c>
      <c r="AK72" s="4"/>
      <c r="AL72" s="4" t="str">
        <f t="shared" si="26"/>
        <v/>
      </c>
      <c r="AM72" s="4" t="str">
        <f t="shared" si="27"/>
        <v/>
      </c>
    </row>
    <row r="73" spans="1:39" x14ac:dyDescent="0.3">
      <c r="A73" s="2">
        <v>46133</v>
      </c>
      <c r="B73" s="3" t="s">
        <v>37</v>
      </c>
      <c r="C73" s="3"/>
      <c r="D73" s="3"/>
      <c r="E73" s="3"/>
      <c r="F73" s="4"/>
      <c r="G73" s="4"/>
      <c r="H73" s="3"/>
      <c r="I73" s="4"/>
      <c r="J73" s="3"/>
      <c r="K73" s="4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 t="str">
        <f t="shared" si="20"/>
        <v>No</v>
      </c>
      <c r="AA73" s="5" t="str">
        <f t="shared" si="21"/>
        <v/>
      </c>
      <c r="AB73" s="6" t="str">
        <f>IF(AA73="","",AA73/Settings!$B$7)</f>
        <v/>
      </c>
      <c r="AC73" s="5" t="str">
        <f t="shared" si="22"/>
        <v/>
      </c>
      <c r="AD73" s="5" t="str">
        <f t="shared" si="23"/>
        <v/>
      </c>
      <c r="AE73" s="3" t="str">
        <f>IF(Z73="No","",IF(AND(AA73&gt;=Settings!$B$4, Y73="Yes"),"Green",IF(AA73&gt;=Settings!$B$5,"Yellow","Grey")))</f>
        <v/>
      </c>
      <c r="AF73" s="5">
        <f t="shared" si="28"/>
        <v>0</v>
      </c>
      <c r="AG73" s="5">
        <f t="shared" si="29"/>
        <v>0</v>
      </c>
      <c r="AH73" s="3" t="str">
        <f t="shared" si="24"/>
        <v/>
      </c>
      <c r="AI73" s="5" t="str">
        <f>IF(Z73="No","",MIN(100,ROUND((AA73/Settings!$B$7)*Settings!$B$10 + IF(Y73="Yes",Settings!$B$11,0) + IF(E73="",0,E73*Settings!$B$12),0)))</f>
        <v/>
      </c>
      <c r="AJ73" s="4" t="str">
        <f t="shared" si="25"/>
        <v/>
      </c>
      <c r="AK73" s="4"/>
      <c r="AL73" s="4" t="str">
        <f t="shared" si="26"/>
        <v/>
      </c>
      <c r="AM73" s="4" t="str">
        <f t="shared" si="27"/>
        <v/>
      </c>
    </row>
    <row r="74" spans="1:39" x14ac:dyDescent="0.3">
      <c r="A74" s="2">
        <v>46134</v>
      </c>
      <c r="B74" s="3" t="s">
        <v>37</v>
      </c>
      <c r="C74" s="3"/>
      <c r="D74" s="3"/>
      <c r="E74" s="3"/>
      <c r="F74" s="4"/>
      <c r="G74" s="4"/>
      <c r="H74" s="3"/>
      <c r="I74" s="4"/>
      <c r="J74" s="3"/>
      <c r="K74" s="4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 t="str">
        <f t="shared" si="20"/>
        <v>No</v>
      </c>
      <c r="AA74" s="5" t="str">
        <f t="shared" si="21"/>
        <v/>
      </c>
      <c r="AB74" s="6" t="str">
        <f>IF(AA74="","",AA74/Settings!$B$7)</f>
        <v/>
      </c>
      <c r="AC74" s="5" t="str">
        <f t="shared" si="22"/>
        <v/>
      </c>
      <c r="AD74" s="5" t="str">
        <f t="shared" si="23"/>
        <v/>
      </c>
      <c r="AE74" s="3" t="str">
        <f>IF(Z74="No","",IF(AND(AA74&gt;=Settings!$B$4, Y74="Yes"),"Green",IF(AA74&gt;=Settings!$B$5,"Yellow","Grey")))</f>
        <v/>
      </c>
      <c r="AF74" s="5">
        <f t="shared" si="28"/>
        <v>0</v>
      </c>
      <c r="AG74" s="5">
        <f t="shared" si="29"/>
        <v>0</v>
      </c>
      <c r="AH74" s="3" t="str">
        <f t="shared" si="24"/>
        <v/>
      </c>
      <c r="AI74" s="5" t="str">
        <f>IF(Z74="No","",MIN(100,ROUND((AA74/Settings!$B$7)*Settings!$B$10 + IF(Y74="Yes",Settings!$B$11,0) + IF(E74="",0,E74*Settings!$B$12),0)))</f>
        <v/>
      </c>
      <c r="AJ74" s="4" t="str">
        <f t="shared" si="25"/>
        <v/>
      </c>
      <c r="AK74" s="4"/>
      <c r="AL74" s="4" t="str">
        <f t="shared" si="26"/>
        <v/>
      </c>
      <c r="AM74" s="4" t="str">
        <f t="shared" si="27"/>
        <v/>
      </c>
    </row>
    <row r="75" spans="1:39" x14ac:dyDescent="0.3">
      <c r="A75" s="2">
        <v>46135</v>
      </c>
      <c r="B75" s="3" t="s">
        <v>37</v>
      </c>
      <c r="C75" s="3"/>
      <c r="D75" s="3"/>
      <c r="E75" s="3"/>
      <c r="F75" s="4"/>
      <c r="G75" s="4"/>
      <c r="H75" s="3"/>
      <c r="I75" s="4"/>
      <c r="J75" s="3"/>
      <c r="K75" s="4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 t="str">
        <f t="shared" si="20"/>
        <v>No</v>
      </c>
      <c r="AA75" s="5" t="str">
        <f t="shared" si="21"/>
        <v/>
      </c>
      <c r="AB75" s="6" t="str">
        <f>IF(AA75="","",AA75/Settings!$B$7)</f>
        <v/>
      </c>
      <c r="AC75" s="5" t="str">
        <f t="shared" si="22"/>
        <v/>
      </c>
      <c r="AD75" s="5" t="str">
        <f t="shared" si="23"/>
        <v/>
      </c>
      <c r="AE75" s="3" t="str">
        <f>IF(Z75="No","",IF(AND(AA75&gt;=Settings!$B$4, Y75="Yes"),"Green",IF(AA75&gt;=Settings!$B$5,"Yellow","Grey")))</f>
        <v/>
      </c>
      <c r="AF75" s="5">
        <f t="shared" si="28"/>
        <v>0</v>
      </c>
      <c r="AG75" s="5">
        <f t="shared" si="29"/>
        <v>0</v>
      </c>
      <c r="AH75" s="3" t="str">
        <f t="shared" si="24"/>
        <v/>
      </c>
      <c r="AI75" s="5" t="str">
        <f>IF(Z75="No","",MIN(100,ROUND((AA75/Settings!$B$7)*Settings!$B$10 + IF(Y75="Yes",Settings!$B$11,0) + IF(E75="",0,E75*Settings!$B$12),0)))</f>
        <v/>
      </c>
      <c r="AJ75" s="4" t="str">
        <f t="shared" si="25"/>
        <v/>
      </c>
      <c r="AK75" s="4"/>
      <c r="AL75" s="4" t="str">
        <f t="shared" si="26"/>
        <v/>
      </c>
      <c r="AM75" s="4" t="str">
        <f t="shared" si="27"/>
        <v/>
      </c>
    </row>
    <row r="76" spans="1:39" x14ac:dyDescent="0.3">
      <c r="A76" s="2">
        <v>46136</v>
      </c>
      <c r="B76" s="3" t="s">
        <v>37</v>
      </c>
      <c r="C76" s="3"/>
      <c r="D76" s="3"/>
      <c r="E76" s="3"/>
      <c r="F76" s="4"/>
      <c r="G76" s="4"/>
      <c r="H76" s="3"/>
      <c r="I76" s="4"/>
      <c r="J76" s="3"/>
      <c r="K76" s="4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 t="str">
        <f t="shared" si="20"/>
        <v>No</v>
      </c>
      <c r="AA76" s="5" t="str">
        <f t="shared" si="21"/>
        <v/>
      </c>
      <c r="AB76" s="6" t="str">
        <f>IF(AA76="","",AA76/Settings!$B$7)</f>
        <v/>
      </c>
      <c r="AC76" s="5" t="str">
        <f t="shared" si="22"/>
        <v/>
      </c>
      <c r="AD76" s="5" t="str">
        <f t="shared" si="23"/>
        <v/>
      </c>
      <c r="AE76" s="3" t="str">
        <f>IF(Z76="No","",IF(AND(AA76&gt;=Settings!$B$4, Y76="Yes"),"Green",IF(AA76&gt;=Settings!$B$5,"Yellow","Grey")))</f>
        <v/>
      </c>
      <c r="AF76" s="5">
        <f t="shared" si="28"/>
        <v>0</v>
      </c>
      <c r="AG76" s="5">
        <f t="shared" si="29"/>
        <v>0</v>
      </c>
      <c r="AH76" s="3" t="str">
        <f t="shared" si="24"/>
        <v/>
      </c>
      <c r="AI76" s="5" t="str">
        <f>IF(Z76="No","",MIN(100,ROUND((AA76/Settings!$B$7)*Settings!$B$10 + IF(Y76="Yes",Settings!$B$11,0) + IF(E76="",0,E76*Settings!$B$12),0)))</f>
        <v/>
      </c>
      <c r="AJ76" s="4" t="str">
        <f t="shared" si="25"/>
        <v/>
      </c>
      <c r="AK76" s="4"/>
      <c r="AL76" s="4" t="str">
        <f t="shared" si="26"/>
        <v/>
      </c>
      <c r="AM76" s="4" t="str">
        <f t="shared" si="27"/>
        <v/>
      </c>
    </row>
    <row r="77" spans="1:39" x14ac:dyDescent="0.3">
      <c r="A77" s="2">
        <v>46137</v>
      </c>
      <c r="B77" s="3" t="s">
        <v>38</v>
      </c>
      <c r="C77" s="3"/>
      <c r="D77" s="3"/>
      <c r="E77" s="3"/>
      <c r="F77" s="4"/>
      <c r="G77" s="4"/>
      <c r="H77" s="3"/>
      <c r="I77" s="4"/>
      <c r="J77" s="3"/>
      <c r="K77" s="4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 t="str">
        <f t="shared" si="20"/>
        <v>No</v>
      </c>
      <c r="AA77" s="5" t="str">
        <f t="shared" si="21"/>
        <v/>
      </c>
      <c r="AB77" s="6" t="str">
        <f>IF(AA77="","",AA77/Settings!$B$7)</f>
        <v/>
      </c>
      <c r="AC77" s="5" t="str">
        <f t="shared" si="22"/>
        <v/>
      </c>
      <c r="AD77" s="5" t="str">
        <f t="shared" si="23"/>
        <v/>
      </c>
      <c r="AE77" s="3" t="str">
        <f>IF(Z77="No","",IF(AND(AA77&gt;=Settings!$B$4, Y77="Yes"),"Green",IF(AA77&gt;=Settings!$B$5,"Yellow","Grey")))</f>
        <v/>
      </c>
      <c r="AF77" s="5">
        <f t="shared" si="28"/>
        <v>0</v>
      </c>
      <c r="AG77" s="5">
        <f t="shared" si="29"/>
        <v>0</v>
      </c>
      <c r="AH77" s="3" t="str">
        <f t="shared" si="24"/>
        <v/>
      </c>
      <c r="AI77" s="5" t="str">
        <f>IF(Z77="No","",MIN(100,ROUND((AA77/Settings!$B$7)*Settings!$B$10 + IF(Y77="Yes",Settings!$B$11,0) + IF(E77="",0,E77*Settings!$B$12),0)))</f>
        <v/>
      </c>
      <c r="AJ77" s="4" t="str">
        <f t="shared" si="25"/>
        <v/>
      </c>
      <c r="AK77" s="4"/>
      <c r="AL77" s="4" t="str">
        <f t="shared" si="26"/>
        <v/>
      </c>
      <c r="AM77" s="4" t="str">
        <f t="shared" si="27"/>
        <v/>
      </c>
    </row>
    <row r="78" spans="1:39" x14ac:dyDescent="0.3">
      <c r="A78" s="2">
        <v>46138</v>
      </c>
      <c r="B78" s="3" t="s">
        <v>38</v>
      </c>
      <c r="C78" s="3"/>
      <c r="D78" s="3"/>
      <c r="E78" s="3"/>
      <c r="F78" s="4"/>
      <c r="G78" s="4"/>
      <c r="H78" s="3"/>
      <c r="I78" s="4"/>
      <c r="J78" s="3"/>
      <c r="K78" s="4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 t="str">
        <f t="shared" si="20"/>
        <v>No</v>
      </c>
      <c r="AA78" s="5" t="str">
        <f t="shared" si="21"/>
        <v/>
      </c>
      <c r="AB78" s="6" t="str">
        <f>IF(AA78="","",AA78/Settings!$B$7)</f>
        <v/>
      </c>
      <c r="AC78" s="5" t="str">
        <f t="shared" si="22"/>
        <v/>
      </c>
      <c r="AD78" s="5" t="str">
        <f t="shared" si="23"/>
        <v/>
      </c>
      <c r="AE78" s="3" t="str">
        <f>IF(Z78="No","",IF(AND(AA78&gt;=Settings!$B$4, Y78="Yes"),"Green",IF(AA78&gt;=Settings!$B$5,"Yellow","Grey")))</f>
        <v/>
      </c>
      <c r="AF78" s="5">
        <f t="shared" si="28"/>
        <v>0</v>
      </c>
      <c r="AG78" s="5">
        <f t="shared" si="29"/>
        <v>0</v>
      </c>
      <c r="AH78" s="3" t="str">
        <f t="shared" si="24"/>
        <v/>
      </c>
      <c r="AI78" s="5" t="str">
        <f>IF(Z78="No","",MIN(100,ROUND((AA78/Settings!$B$7)*Settings!$B$10 + IF(Y78="Yes",Settings!$B$11,0) + IF(E78="",0,E78*Settings!$B$12),0)))</f>
        <v/>
      </c>
      <c r="AJ78" s="4" t="str">
        <f t="shared" si="25"/>
        <v/>
      </c>
      <c r="AK78" s="4"/>
      <c r="AL78" s="4" t="str">
        <f t="shared" si="26"/>
        <v/>
      </c>
      <c r="AM78" s="4" t="str">
        <f t="shared" si="27"/>
        <v/>
      </c>
    </row>
    <row r="79" spans="1:39" x14ac:dyDescent="0.3">
      <c r="A79" s="2">
        <v>46139</v>
      </c>
      <c r="B79" s="3" t="s">
        <v>37</v>
      </c>
      <c r="C79" s="3"/>
      <c r="D79" s="3"/>
      <c r="E79" s="3"/>
      <c r="F79" s="4"/>
      <c r="G79" s="4"/>
      <c r="H79" s="3"/>
      <c r="I79" s="4"/>
      <c r="J79" s="3"/>
      <c r="K79" s="4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 t="str">
        <f t="shared" si="20"/>
        <v>No</v>
      </c>
      <c r="AA79" s="5" t="str">
        <f t="shared" si="21"/>
        <v/>
      </c>
      <c r="AB79" s="6" t="str">
        <f>IF(AA79="","",AA79/Settings!$B$7)</f>
        <v/>
      </c>
      <c r="AC79" s="5" t="str">
        <f t="shared" si="22"/>
        <v/>
      </c>
      <c r="AD79" s="5" t="str">
        <f t="shared" si="23"/>
        <v/>
      </c>
      <c r="AE79" s="3" t="str">
        <f>IF(Z79="No","",IF(AND(AA79&gt;=Settings!$B$4, Y79="Yes"),"Green",IF(AA79&gt;=Settings!$B$5,"Yellow","Grey")))</f>
        <v/>
      </c>
      <c r="AF79" s="5">
        <f t="shared" si="28"/>
        <v>0</v>
      </c>
      <c r="AG79" s="5">
        <f t="shared" si="29"/>
        <v>0</v>
      </c>
      <c r="AH79" s="3" t="str">
        <f t="shared" si="24"/>
        <v/>
      </c>
      <c r="AI79" s="5" t="str">
        <f>IF(Z79="No","",MIN(100,ROUND((AA79/Settings!$B$7)*Settings!$B$10 + IF(Y79="Yes",Settings!$B$11,0) + IF(E79="",0,E79*Settings!$B$12),0)))</f>
        <v/>
      </c>
      <c r="AJ79" s="4" t="str">
        <f t="shared" si="25"/>
        <v/>
      </c>
      <c r="AK79" s="4"/>
      <c r="AL79" s="4" t="str">
        <f t="shared" si="26"/>
        <v/>
      </c>
      <c r="AM79" s="4" t="str">
        <f t="shared" si="27"/>
        <v/>
      </c>
    </row>
    <row r="80" spans="1:39" x14ac:dyDescent="0.3">
      <c r="A80" s="2">
        <v>46140</v>
      </c>
      <c r="B80" s="3" t="s">
        <v>37</v>
      </c>
      <c r="C80" s="3"/>
      <c r="D80" s="3"/>
      <c r="E80" s="3"/>
      <c r="F80" s="4"/>
      <c r="G80" s="4"/>
      <c r="H80" s="3"/>
      <c r="I80" s="4"/>
      <c r="J80" s="3"/>
      <c r="K80" s="4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 t="str">
        <f t="shared" si="20"/>
        <v>No</v>
      </c>
      <c r="AA80" s="5" t="str">
        <f t="shared" si="21"/>
        <v/>
      </c>
      <c r="AB80" s="6" t="str">
        <f>IF(AA80="","",AA80/Settings!$B$7)</f>
        <v/>
      </c>
      <c r="AC80" s="5" t="str">
        <f t="shared" si="22"/>
        <v/>
      </c>
      <c r="AD80" s="5" t="str">
        <f t="shared" si="23"/>
        <v/>
      </c>
      <c r="AE80" s="3" t="str">
        <f>IF(Z80="No","",IF(AND(AA80&gt;=Settings!$B$4, Y80="Yes"),"Green",IF(AA80&gt;=Settings!$B$5,"Yellow","Grey")))</f>
        <v/>
      </c>
      <c r="AF80" s="5">
        <f t="shared" si="28"/>
        <v>0</v>
      </c>
      <c r="AG80" s="5">
        <f t="shared" si="29"/>
        <v>0</v>
      </c>
      <c r="AH80" s="3" t="str">
        <f t="shared" si="24"/>
        <v/>
      </c>
      <c r="AI80" s="5" t="str">
        <f>IF(Z80="No","",MIN(100,ROUND((AA80/Settings!$B$7)*Settings!$B$10 + IF(Y80="Yes",Settings!$B$11,0) + IF(E80="",0,E80*Settings!$B$12),0)))</f>
        <v/>
      </c>
      <c r="AJ80" s="4" t="str">
        <f t="shared" si="25"/>
        <v/>
      </c>
      <c r="AK80" s="4"/>
      <c r="AL80" s="4" t="str">
        <f t="shared" si="26"/>
        <v/>
      </c>
      <c r="AM80" s="4" t="str">
        <f t="shared" si="27"/>
        <v/>
      </c>
    </row>
    <row r="81" spans="1:39" x14ac:dyDescent="0.3">
      <c r="A81" s="2">
        <v>46141</v>
      </c>
      <c r="B81" s="3" t="s">
        <v>37</v>
      </c>
      <c r="C81" s="3"/>
      <c r="D81" s="3"/>
      <c r="E81" s="3"/>
      <c r="F81" s="4"/>
      <c r="G81" s="4"/>
      <c r="H81" s="3"/>
      <c r="I81" s="4"/>
      <c r="J81" s="3"/>
      <c r="K81" s="4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 t="str">
        <f t="shared" si="20"/>
        <v>No</v>
      </c>
      <c r="AA81" s="5" t="str">
        <f t="shared" si="21"/>
        <v/>
      </c>
      <c r="AB81" s="6" t="str">
        <f>IF(AA81="","",AA81/Settings!$B$7)</f>
        <v/>
      </c>
      <c r="AC81" s="5" t="str">
        <f t="shared" si="22"/>
        <v/>
      </c>
      <c r="AD81" s="5" t="str">
        <f t="shared" si="23"/>
        <v/>
      </c>
      <c r="AE81" s="3" t="str">
        <f>IF(Z81="No","",IF(AND(AA81&gt;=Settings!$B$4, Y81="Yes"),"Green",IF(AA81&gt;=Settings!$B$5,"Yellow","Grey")))</f>
        <v/>
      </c>
      <c r="AF81" s="5">
        <f t="shared" si="28"/>
        <v>0</v>
      </c>
      <c r="AG81" s="5">
        <f t="shared" si="29"/>
        <v>0</v>
      </c>
      <c r="AH81" s="3" t="str">
        <f t="shared" si="24"/>
        <v/>
      </c>
      <c r="AI81" s="5" t="str">
        <f>IF(Z81="No","",MIN(100,ROUND((AA81/Settings!$B$7)*Settings!$B$10 + IF(Y81="Yes",Settings!$B$11,0) + IF(E81="",0,E81*Settings!$B$12),0)))</f>
        <v/>
      </c>
      <c r="AJ81" s="4" t="str">
        <f t="shared" si="25"/>
        <v/>
      </c>
      <c r="AK81" s="4"/>
      <c r="AL81" s="4" t="str">
        <f t="shared" si="26"/>
        <v/>
      </c>
      <c r="AM81" s="4" t="str">
        <f t="shared" si="27"/>
        <v/>
      </c>
    </row>
    <row r="82" spans="1:39" x14ac:dyDescent="0.3">
      <c r="A82" s="2">
        <v>46142</v>
      </c>
      <c r="B82" s="3" t="s">
        <v>37</v>
      </c>
      <c r="C82" s="3"/>
      <c r="D82" s="3"/>
      <c r="E82" s="3"/>
      <c r="F82" s="4"/>
      <c r="G82" s="4"/>
      <c r="H82" s="3"/>
      <c r="I82" s="4"/>
      <c r="J82" s="3"/>
      <c r="K82" s="4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 t="str">
        <f t="shared" si="20"/>
        <v>No</v>
      </c>
      <c r="AA82" s="5" t="str">
        <f t="shared" si="21"/>
        <v/>
      </c>
      <c r="AB82" s="6" t="str">
        <f>IF(AA82="","",AA82/Settings!$B$7)</f>
        <v/>
      </c>
      <c r="AC82" s="5" t="str">
        <f t="shared" si="22"/>
        <v/>
      </c>
      <c r="AD82" s="5" t="str">
        <f t="shared" si="23"/>
        <v/>
      </c>
      <c r="AE82" s="3" t="str">
        <f>IF(Z82="No","",IF(AND(AA82&gt;=Settings!$B$4, Y82="Yes"),"Green",IF(AA82&gt;=Settings!$B$5,"Yellow","Grey")))</f>
        <v/>
      </c>
      <c r="AF82" s="5">
        <f t="shared" si="28"/>
        <v>0</v>
      </c>
      <c r="AG82" s="5">
        <f t="shared" si="29"/>
        <v>0</v>
      </c>
      <c r="AH82" s="3" t="str">
        <f t="shared" si="24"/>
        <v/>
      </c>
      <c r="AI82" s="5" t="str">
        <f>IF(Z82="No","",MIN(100,ROUND((AA82/Settings!$B$7)*Settings!$B$10 + IF(Y82="Yes",Settings!$B$11,0) + IF(E82="",0,E82*Settings!$B$12),0)))</f>
        <v/>
      </c>
      <c r="AJ82" s="4" t="str">
        <f t="shared" si="25"/>
        <v/>
      </c>
      <c r="AK82" s="4"/>
      <c r="AL82" s="4" t="str">
        <f t="shared" si="26"/>
        <v/>
      </c>
      <c r="AM82" s="4" t="str">
        <f t="shared" si="27"/>
        <v/>
      </c>
    </row>
    <row r="83" spans="1:39" x14ac:dyDescent="0.3">
      <c r="A83" s="2">
        <v>46143</v>
      </c>
      <c r="B83" s="3" t="s">
        <v>37</v>
      </c>
      <c r="C83" s="3"/>
      <c r="D83" s="3"/>
      <c r="E83" s="3"/>
      <c r="F83" s="4"/>
      <c r="G83" s="4"/>
      <c r="H83" s="3"/>
      <c r="I83" s="4"/>
      <c r="J83" s="3"/>
      <c r="K83" s="4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 t="str">
        <f t="shared" si="20"/>
        <v>No</v>
      </c>
      <c r="AA83" s="5" t="str">
        <f t="shared" si="21"/>
        <v/>
      </c>
      <c r="AB83" s="6" t="str">
        <f>IF(AA83="","",AA83/Settings!$B$7)</f>
        <v/>
      </c>
      <c r="AC83" s="5" t="str">
        <f t="shared" si="22"/>
        <v/>
      </c>
      <c r="AD83" s="5" t="str">
        <f t="shared" si="23"/>
        <v/>
      </c>
      <c r="AE83" s="3" t="str">
        <f>IF(Z83="No","",IF(AND(AA83&gt;=Settings!$B$4, Y83="Yes"),"Green",IF(AA83&gt;=Settings!$B$5,"Yellow","Grey")))</f>
        <v/>
      </c>
      <c r="AF83" s="5">
        <f t="shared" si="28"/>
        <v>0</v>
      </c>
      <c r="AG83" s="5">
        <f t="shared" si="29"/>
        <v>0</v>
      </c>
      <c r="AH83" s="3" t="str">
        <f t="shared" si="24"/>
        <v/>
      </c>
      <c r="AI83" s="5" t="str">
        <f>IF(Z83="No","",MIN(100,ROUND((AA83/Settings!$B$7)*Settings!$B$10 + IF(Y83="Yes",Settings!$B$11,0) + IF(E83="",0,E83*Settings!$B$12),0)))</f>
        <v/>
      </c>
      <c r="AJ83" s="4" t="str">
        <f t="shared" si="25"/>
        <v/>
      </c>
      <c r="AK83" s="4"/>
      <c r="AL83" s="4" t="str">
        <f t="shared" si="26"/>
        <v/>
      </c>
      <c r="AM83" s="4" t="str">
        <f t="shared" si="27"/>
        <v/>
      </c>
    </row>
    <row r="84" spans="1:39" x14ac:dyDescent="0.3">
      <c r="A84" s="2">
        <v>46144</v>
      </c>
      <c r="B84" s="3" t="s">
        <v>38</v>
      </c>
      <c r="C84" s="3"/>
      <c r="D84" s="3"/>
      <c r="E84" s="3"/>
      <c r="F84" s="4"/>
      <c r="G84" s="4"/>
      <c r="H84" s="3"/>
      <c r="I84" s="4"/>
      <c r="J84" s="3"/>
      <c r="K84" s="4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 t="str">
        <f t="shared" si="20"/>
        <v>No</v>
      </c>
      <c r="AA84" s="5" t="str">
        <f t="shared" si="21"/>
        <v/>
      </c>
      <c r="AB84" s="6" t="str">
        <f>IF(AA84="","",AA84/Settings!$B$7)</f>
        <v/>
      </c>
      <c r="AC84" s="5" t="str">
        <f t="shared" si="22"/>
        <v/>
      </c>
      <c r="AD84" s="5" t="str">
        <f t="shared" si="23"/>
        <v/>
      </c>
      <c r="AE84" s="3" t="str">
        <f>IF(Z84="No","",IF(AND(AA84&gt;=Settings!$B$4, Y84="Yes"),"Green",IF(AA84&gt;=Settings!$B$5,"Yellow","Grey")))</f>
        <v/>
      </c>
      <c r="AF84" s="5">
        <f t="shared" si="28"/>
        <v>0</v>
      </c>
      <c r="AG84" s="5">
        <f t="shared" si="29"/>
        <v>0</v>
      </c>
      <c r="AH84" s="3" t="str">
        <f t="shared" si="24"/>
        <v/>
      </c>
      <c r="AI84" s="5" t="str">
        <f>IF(Z84="No","",MIN(100,ROUND((AA84/Settings!$B$7)*Settings!$B$10 + IF(Y84="Yes",Settings!$B$11,0) + IF(E84="",0,E84*Settings!$B$12),0)))</f>
        <v/>
      </c>
      <c r="AJ84" s="4" t="str">
        <f t="shared" si="25"/>
        <v/>
      </c>
      <c r="AK84" s="4"/>
      <c r="AL84" s="4" t="str">
        <f t="shared" si="26"/>
        <v/>
      </c>
      <c r="AM84" s="4" t="str">
        <f t="shared" si="27"/>
        <v/>
      </c>
    </row>
    <row r="85" spans="1:39" x14ac:dyDescent="0.3">
      <c r="A85" s="2">
        <v>46145</v>
      </c>
      <c r="B85" s="3" t="s">
        <v>38</v>
      </c>
      <c r="C85" s="3"/>
      <c r="D85" s="3"/>
      <c r="E85" s="3"/>
      <c r="F85" s="4"/>
      <c r="G85" s="4"/>
      <c r="H85" s="3"/>
      <c r="I85" s="4"/>
      <c r="J85" s="3"/>
      <c r="K85" s="4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 t="str">
        <f t="shared" si="20"/>
        <v>No</v>
      </c>
      <c r="AA85" s="5" t="str">
        <f t="shared" si="21"/>
        <v/>
      </c>
      <c r="AB85" s="6" t="str">
        <f>IF(AA85="","",AA85/Settings!$B$7)</f>
        <v/>
      </c>
      <c r="AC85" s="5" t="str">
        <f t="shared" si="22"/>
        <v/>
      </c>
      <c r="AD85" s="5" t="str">
        <f t="shared" si="23"/>
        <v/>
      </c>
      <c r="AE85" s="3" t="str">
        <f>IF(Z85="No","",IF(AND(AA85&gt;=Settings!$B$4, Y85="Yes"),"Green",IF(AA85&gt;=Settings!$B$5,"Yellow","Grey")))</f>
        <v/>
      </c>
      <c r="AF85" s="5">
        <f t="shared" si="28"/>
        <v>0</v>
      </c>
      <c r="AG85" s="5">
        <f t="shared" si="29"/>
        <v>0</v>
      </c>
      <c r="AH85" s="3" t="str">
        <f t="shared" si="24"/>
        <v/>
      </c>
      <c r="AI85" s="5" t="str">
        <f>IF(Z85="No","",MIN(100,ROUND((AA85/Settings!$B$7)*Settings!$B$10 + IF(Y85="Yes",Settings!$B$11,0) + IF(E85="",0,E85*Settings!$B$12),0)))</f>
        <v/>
      </c>
      <c r="AJ85" s="4" t="str">
        <f t="shared" si="25"/>
        <v/>
      </c>
      <c r="AK85" s="4"/>
      <c r="AL85" s="4" t="str">
        <f t="shared" si="26"/>
        <v/>
      </c>
      <c r="AM85" s="4" t="str">
        <f t="shared" si="27"/>
        <v/>
      </c>
    </row>
    <row r="86" spans="1:39" x14ac:dyDescent="0.3">
      <c r="A86" s="2">
        <v>46146</v>
      </c>
      <c r="B86" s="3" t="s">
        <v>37</v>
      </c>
      <c r="C86" s="3"/>
      <c r="D86" s="3"/>
      <c r="E86" s="3"/>
      <c r="F86" s="4"/>
      <c r="G86" s="4"/>
      <c r="H86" s="3"/>
      <c r="I86" s="4"/>
      <c r="J86" s="3"/>
      <c r="K86" s="4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 t="str">
        <f t="shared" si="20"/>
        <v>No</v>
      </c>
      <c r="AA86" s="5" t="str">
        <f t="shared" si="21"/>
        <v/>
      </c>
      <c r="AB86" s="6" t="str">
        <f>IF(AA86="","",AA86/Settings!$B$7)</f>
        <v/>
      </c>
      <c r="AC86" s="5" t="str">
        <f t="shared" si="22"/>
        <v/>
      </c>
      <c r="AD86" s="5" t="str">
        <f t="shared" si="23"/>
        <v/>
      </c>
      <c r="AE86" s="3" t="str">
        <f>IF(Z86="No","",IF(AND(AA86&gt;=Settings!$B$4, Y86="Yes"),"Green",IF(AA86&gt;=Settings!$B$5,"Yellow","Grey")))</f>
        <v/>
      </c>
      <c r="AF86" s="5">
        <f t="shared" si="28"/>
        <v>0</v>
      </c>
      <c r="AG86" s="5">
        <f t="shared" si="29"/>
        <v>0</v>
      </c>
      <c r="AH86" s="3" t="str">
        <f t="shared" si="24"/>
        <v/>
      </c>
      <c r="AI86" s="5" t="str">
        <f>IF(Z86="No","",MIN(100,ROUND((AA86/Settings!$B$7)*Settings!$B$10 + IF(Y86="Yes",Settings!$B$11,0) + IF(E86="",0,E86*Settings!$B$12),0)))</f>
        <v/>
      </c>
      <c r="AJ86" s="4" t="str">
        <f t="shared" si="25"/>
        <v/>
      </c>
      <c r="AK86" s="4"/>
      <c r="AL86" s="4" t="str">
        <f t="shared" si="26"/>
        <v/>
      </c>
      <c r="AM86" s="4" t="str">
        <f t="shared" si="27"/>
        <v/>
      </c>
    </row>
    <row r="87" spans="1:39" x14ac:dyDescent="0.3">
      <c r="A87" s="2">
        <v>46147</v>
      </c>
      <c r="B87" s="3" t="s">
        <v>37</v>
      </c>
      <c r="C87" s="3"/>
      <c r="D87" s="3"/>
      <c r="E87" s="3"/>
      <c r="F87" s="4"/>
      <c r="G87" s="4"/>
      <c r="H87" s="3"/>
      <c r="I87" s="4"/>
      <c r="J87" s="3"/>
      <c r="K87" s="4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 t="str">
        <f t="shared" si="20"/>
        <v>No</v>
      </c>
      <c r="AA87" s="5" t="str">
        <f t="shared" si="21"/>
        <v/>
      </c>
      <c r="AB87" s="6" t="str">
        <f>IF(AA87="","",AA87/Settings!$B$7)</f>
        <v/>
      </c>
      <c r="AC87" s="5" t="str">
        <f t="shared" si="22"/>
        <v/>
      </c>
      <c r="AD87" s="5" t="str">
        <f t="shared" si="23"/>
        <v/>
      </c>
      <c r="AE87" s="3" t="str">
        <f>IF(Z87="No","",IF(AND(AA87&gt;=Settings!$B$4, Y87="Yes"),"Green",IF(AA87&gt;=Settings!$B$5,"Yellow","Grey")))</f>
        <v/>
      </c>
      <c r="AF87" s="5">
        <f t="shared" si="28"/>
        <v>0</v>
      </c>
      <c r="AG87" s="5">
        <f t="shared" si="29"/>
        <v>0</v>
      </c>
      <c r="AH87" s="3" t="str">
        <f t="shared" si="24"/>
        <v/>
      </c>
      <c r="AI87" s="5" t="str">
        <f>IF(Z87="No","",MIN(100,ROUND((AA87/Settings!$B$7)*Settings!$B$10 + IF(Y87="Yes",Settings!$B$11,0) + IF(E87="",0,E87*Settings!$B$12),0)))</f>
        <v/>
      </c>
      <c r="AJ87" s="4" t="str">
        <f t="shared" si="25"/>
        <v/>
      </c>
      <c r="AK87" s="4"/>
      <c r="AL87" s="4" t="str">
        <f t="shared" si="26"/>
        <v/>
      </c>
      <c r="AM87" s="4" t="str">
        <f t="shared" si="27"/>
        <v/>
      </c>
    </row>
    <row r="88" spans="1:39" x14ac:dyDescent="0.3">
      <c r="A88" s="2">
        <v>46148</v>
      </c>
      <c r="B88" s="3" t="s">
        <v>37</v>
      </c>
      <c r="C88" s="3"/>
      <c r="D88" s="3"/>
      <c r="E88" s="3"/>
      <c r="F88" s="4"/>
      <c r="G88" s="4"/>
      <c r="H88" s="3"/>
      <c r="I88" s="4"/>
      <c r="J88" s="3"/>
      <c r="K88" s="4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 t="str">
        <f t="shared" si="20"/>
        <v>No</v>
      </c>
      <c r="AA88" s="5" t="str">
        <f t="shared" si="21"/>
        <v/>
      </c>
      <c r="AB88" s="6" t="str">
        <f>IF(AA88="","",AA88/Settings!$B$7)</f>
        <v/>
      </c>
      <c r="AC88" s="5" t="str">
        <f t="shared" si="22"/>
        <v/>
      </c>
      <c r="AD88" s="5" t="str">
        <f t="shared" si="23"/>
        <v/>
      </c>
      <c r="AE88" s="3" t="str">
        <f>IF(Z88="No","",IF(AND(AA88&gt;=Settings!$B$4, Y88="Yes"),"Green",IF(AA88&gt;=Settings!$B$5,"Yellow","Grey")))</f>
        <v/>
      </c>
      <c r="AF88" s="5">
        <f t="shared" si="28"/>
        <v>0</v>
      </c>
      <c r="AG88" s="5">
        <f t="shared" si="29"/>
        <v>0</v>
      </c>
      <c r="AH88" s="3" t="str">
        <f t="shared" si="24"/>
        <v/>
      </c>
      <c r="AI88" s="5" t="str">
        <f>IF(Z88="No","",MIN(100,ROUND((AA88/Settings!$B$7)*Settings!$B$10 + IF(Y88="Yes",Settings!$B$11,0) + IF(E88="",0,E88*Settings!$B$12),0)))</f>
        <v/>
      </c>
      <c r="AJ88" s="4" t="str">
        <f t="shared" si="25"/>
        <v/>
      </c>
      <c r="AK88" s="4"/>
      <c r="AL88" s="4" t="str">
        <f t="shared" si="26"/>
        <v/>
      </c>
      <c r="AM88" s="4" t="str">
        <f t="shared" si="27"/>
        <v/>
      </c>
    </row>
    <row r="89" spans="1:39" x14ac:dyDescent="0.3">
      <c r="A89" s="2">
        <v>46149</v>
      </c>
      <c r="B89" s="3" t="s">
        <v>37</v>
      </c>
      <c r="C89" s="3"/>
      <c r="D89" s="3"/>
      <c r="E89" s="3"/>
      <c r="F89" s="4"/>
      <c r="G89" s="4"/>
      <c r="H89" s="3"/>
      <c r="I89" s="4"/>
      <c r="J89" s="3"/>
      <c r="K89" s="4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 t="str">
        <f t="shared" si="20"/>
        <v>No</v>
      </c>
      <c r="AA89" s="5" t="str">
        <f t="shared" si="21"/>
        <v/>
      </c>
      <c r="AB89" s="6" t="str">
        <f>IF(AA89="","",AA89/Settings!$B$7)</f>
        <v/>
      </c>
      <c r="AC89" s="5" t="str">
        <f t="shared" si="22"/>
        <v/>
      </c>
      <c r="AD89" s="5" t="str">
        <f t="shared" si="23"/>
        <v/>
      </c>
      <c r="AE89" s="3" t="str">
        <f>IF(Z89="No","",IF(AND(AA89&gt;=Settings!$B$4, Y89="Yes"),"Green",IF(AA89&gt;=Settings!$B$5,"Yellow","Grey")))</f>
        <v/>
      </c>
      <c r="AF89" s="5">
        <f t="shared" si="28"/>
        <v>0</v>
      </c>
      <c r="AG89" s="5">
        <f t="shared" si="29"/>
        <v>0</v>
      </c>
      <c r="AH89" s="3" t="str">
        <f t="shared" si="24"/>
        <v/>
      </c>
      <c r="AI89" s="5" t="str">
        <f>IF(Z89="No","",MIN(100,ROUND((AA89/Settings!$B$7)*Settings!$B$10 + IF(Y89="Yes",Settings!$B$11,0) + IF(E89="",0,E89*Settings!$B$12),0)))</f>
        <v/>
      </c>
      <c r="AJ89" s="4" t="str">
        <f t="shared" si="25"/>
        <v/>
      </c>
      <c r="AK89" s="4"/>
      <c r="AL89" s="4" t="str">
        <f t="shared" si="26"/>
        <v/>
      </c>
      <c r="AM89" s="4" t="str">
        <f t="shared" si="27"/>
        <v/>
      </c>
    </row>
    <row r="90" spans="1:39" x14ac:dyDescent="0.3">
      <c r="A90" s="2">
        <v>46150</v>
      </c>
      <c r="B90" s="3" t="s">
        <v>37</v>
      </c>
      <c r="C90" s="3"/>
      <c r="D90" s="3"/>
      <c r="E90" s="3"/>
      <c r="F90" s="4"/>
      <c r="G90" s="4"/>
      <c r="H90" s="3"/>
      <c r="I90" s="4"/>
      <c r="J90" s="3"/>
      <c r="K90" s="4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 t="str">
        <f t="shared" si="20"/>
        <v>No</v>
      </c>
      <c r="AA90" s="5" t="str">
        <f t="shared" si="21"/>
        <v/>
      </c>
      <c r="AB90" s="6" t="str">
        <f>IF(AA90="","",AA90/Settings!$B$7)</f>
        <v/>
      </c>
      <c r="AC90" s="5" t="str">
        <f t="shared" si="22"/>
        <v/>
      </c>
      <c r="AD90" s="5" t="str">
        <f t="shared" si="23"/>
        <v/>
      </c>
      <c r="AE90" s="3" t="str">
        <f>IF(Z90="No","",IF(AND(AA90&gt;=Settings!$B$4, Y90="Yes"),"Green",IF(AA90&gt;=Settings!$B$5,"Yellow","Grey")))</f>
        <v/>
      </c>
      <c r="AF90" s="5">
        <f t="shared" si="28"/>
        <v>0</v>
      </c>
      <c r="AG90" s="5">
        <f t="shared" si="29"/>
        <v>0</v>
      </c>
      <c r="AH90" s="3" t="str">
        <f t="shared" si="24"/>
        <v/>
      </c>
      <c r="AI90" s="5" t="str">
        <f>IF(Z90="No","",MIN(100,ROUND((AA90/Settings!$B$7)*Settings!$B$10 + IF(Y90="Yes",Settings!$B$11,0) + IF(E90="",0,E90*Settings!$B$12),0)))</f>
        <v/>
      </c>
      <c r="AJ90" s="4" t="str">
        <f t="shared" si="25"/>
        <v/>
      </c>
      <c r="AK90" s="4"/>
      <c r="AL90" s="4" t="str">
        <f t="shared" si="26"/>
        <v/>
      </c>
      <c r="AM90" s="4" t="str">
        <f t="shared" si="27"/>
        <v/>
      </c>
    </row>
    <row r="91" spans="1:39" x14ac:dyDescent="0.3">
      <c r="A91" s="2">
        <v>46151</v>
      </c>
      <c r="B91" s="3" t="s">
        <v>38</v>
      </c>
      <c r="C91" s="3"/>
      <c r="D91" s="3"/>
      <c r="E91" s="3"/>
      <c r="F91" s="4"/>
      <c r="G91" s="4"/>
      <c r="H91" s="3"/>
      <c r="I91" s="4"/>
      <c r="J91" s="3"/>
      <c r="K91" s="4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 t="str">
        <f t="shared" si="20"/>
        <v>No</v>
      </c>
      <c r="AA91" s="5" t="str">
        <f t="shared" si="21"/>
        <v/>
      </c>
      <c r="AB91" s="6" t="str">
        <f>IF(AA91="","",AA91/Settings!$B$7)</f>
        <v/>
      </c>
      <c r="AC91" s="5" t="str">
        <f t="shared" si="22"/>
        <v/>
      </c>
      <c r="AD91" s="5" t="str">
        <f t="shared" si="23"/>
        <v/>
      </c>
      <c r="AE91" s="3" t="str">
        <f>IF(Z91="No","",IF(AND(AA91&gt;=Settings!$B$4, Y91="Yes"),"Green",IF(AA91&gt;=Settings!$B$5,"Yellow","Grey")))</f>
        <v/>
      </c>
      <c r="AF91" s="5">
        <f t="shared" si="28"/>
        <v>0</v>
      </c>
      <c r="AG91" s="5">
        <f t="shared" si="29"/>
        <v>0</v>
      </c>
      <c r="AH91" s="3" t="str">
        <f t="shared" si="24"/>
        <v/>
      </c>
      <c r="AI91" s="5" t="str">
        <f>IF(Z91="No","",MIN(100,ROUND((AA91/Settings!$B$7)*Settings!$B$10 + IF(Y91="Yes",Settings!$B$11,0) + IF(E91="",0,E91*Settings!$B$12),0)))</f>
        <v/>
      </c>
      <c r="AJ91" s="4" t="str">
        <f t="shared" si="25"/>
        <v/>
      </c>
      <c r="AK91" s="4"/>
      <c r="AL91" s="4" t="str">
        <f t="shared" si="26"/>
        <v/>
      </c>
      <c r="AM91" s="4" t="str">
        <f t="shared" si="27"/>
        <v/>
      </c>
    </row>
    <row r="92" spans="1:39" x14ac:dyDescent="0.3">
      <c r="A92" s="2">
        <v>46152</v>
      </c>
      <c r="B92" s="3" t="s">
        <v>38</v>
      </c>
      <c r="C92" s="3"/>
      <c r="D92" s="3"/>
      <c r="E92" s="3"/>
      <c r="F92" s="4"/>
      <c r="G92" s="4"/>
      <c r="H92" s="3"/>
      <c r="I92" s="4"/>
      <c r="J92" s="3"/>
      <c r="K92" s="4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 t="str">
        <f t="shared" si="20"/>
        <v>No</v>
      </c>
      <c r="AA92" s="5" t="str">
        <f t="shared" si="21"/>
        <v/>
      </c>
      <c r="AB92" s="6" t="str">
        <f>IF(AA92="","",AA92/Settings!$B$7)</f>
        <v/>
      </c>
      <c r="AC92" s="5" t="str">
        <f t="shared" si="22"/>
        <v/>
      </c>
      <c r="AD92" s="5" t="str">
        <f t="shared" si="23"/>
        <v/>
      </c>
      <c r="AE92" s="3" t="str">
        <f>IF(Z92="No","",IF(AND(AA92&gt;=Settings!$B$4, Y92="Yes"),"Green",IF(AA92&gt;=Settings!$B$5,"Yellow","Grey")))</f>
        <v/>
      </c>
      <c r="AF92" s="5">
        <f t="shared" si="28"/>
        <v>0</v>
      </c>
      <c r="AG92" s="5">
        <f t="shared" si="29"/>
        <v>0</v>
      </c>
      <c r="AH92" s="3" t="str">
        <f t="shared" si="24"/>
        <v/>
      </c>
      <c r="AI92" s="5" t="str">
        <f>IF(Z92="No","",MIN(100,ROUND((AA92/Settings!$B$7)*Settings!$B$10 + IF(Y92="Yes",Settings!$B$11,0) + IF(E92="",0,E92*Settings!$B$12),0)))</f>
        <v/>
      </c>
      <c r="AJ92" s="4" t="str">
        <f t="shared" si="25"/>
        <v/>
      </c>
      <c r="AK92" s="4"/>
      <c r="AL92" s="4" t="str">
        <f t="shared" si="26"/>
        <v/>
      </c>
      <c r="AM92" s="4" t="str">
        <f t="shared" si="27"/>
        <v/>
      </c>
    </row>
    <row r="93" spans="1:39" x14ac:dyDescent="0.3">
      <c r="A93" s="2">
        <v>46153</v>
      </c>
      <c r="B93" s="3" t="s">
        <v>37</v>
      </c>
      <c r="C93" s="3"/>
      <c r="D93" s="3"/>
      <c r="E93" s="3"/>
      <c r="F93" s="4"/>
      <c r="G93" s="4"/>
      <c r="H93" s="3"/>
      <c r="I93" s="4"/>
      <c r="J93" s="3"/>
      <c r="K93" s="4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 t="str">
        <f t="shared" si="20"/>
        <v>No</v>
      </c>
      <c r="AA93" s="5" t="str">
        <f t="shared" si="21"/>
        <v/>
      </c>
      <c r="AB93" s="6" t="str">
        <f>IF(AA93="","",AA93/Settings!$B$7)</f>
        <v/>
      </c>
      <c r="AC93" s="5" t="str">
        <f t="shared" si="22"/>
        <v/>
      </c>
      <c r="AD93" s="5" t="str">
        <f t="shared" si="23"/>
        <v/>
      </c>
      <c r="AE93" s="3" t="str">
        <f>IF(Z93="No","",IF(AND(AA93&gt;=Settings!$B$4, Y93="Yes"),"Green",IF(AA93&gt;=Settings!$B$5,"Yellow","Grey")))</f>
        <v/>
      </c>
      <c r="AF93" s="5">
        <f t="shared" si="28"/>
        <v>0</v>
      </c>
      <c r="AG93" s="5">
        <f t="shared" si="29"/>
        <v>0</v>
      </c>
      <c r="AH93" s="3" t="str">
        <f t="shared" si="24"/>
        <v/>
      </c>
      <c r="AI93" s="5" t="str">
        <f>IF(Z93="No","",MIN(100,ROUND((AA93/Settings!$B$7)*Settings!$B$10 + IF(Y93="Yes",Settings!$B$11,0) + IF(E93="",0,E93*Settings!$B$12),0)))</f>
        <v/>
      </c>
      <c r="AJ93" s="4" t="str">
        <f t="shared" si="25"/>
        <v/>
      </c>
      <c r="AK93" s="4"/>
      <c r="AL93" s="4" t="str">
        <f t="shared" si="26"/>
        <v/>
      </c>
      <c r="AM93" s="4" t="str">
        <f t="shared" si="27"/>
        <v/>
      </c>
    </row>
    <row r="94" spans="1:39" x14ac:dyDescent="0.3">
      <c r="A94" s="2">
        <v>46154</v>
      </c>
      <c r="B94" s="3" t="s">
        <v>37</v>
      </c>
      <c r="C94" s="3"/>
      <c r="D94" s="3"/>
      <c r="E94" s="3"/>
      <c r="F94" s="4"/>
      <c r="G94" s="4"/>
      <c r="H94" s="3"/>
      <c r="I94" s="4"/>
      <c r="J94" s="3"/>
      <c r="K94" s="4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 t="str">
        <f t="shared" si="20"/>
        <v>No</v>
      </c>
      <c r="AA94" s="5" t="str">
        <f t="shared" si="21"/>
        <v/>
      </c>
      <c r="AB94" s="6" t="str">
        <f>IF(AA94="","",AA94/Settings!$B$7)</f>
        <v/>
      </c>
      <c r="AC94" s="5" t="str">
        <f t="shared" si="22"/>
        <v/>
      </c>
      <c r="AD94" s="5" t="str">
        <f t="shared" si="23"/>
        <v/>
      </c>
      <c r="AE94" s="3" t="str">
        <f>IF(Z94="No","",IF(AND(AA94&gt;=Settings!$B$4, Y94="Yes"),"Green",IF(AA94&gt;=Settings!$B$5,"Yellow","Grey")))</f>
        <v/>
      </c>
      <c r="AF94" s="5">
        <f t="shared" si="28"/>
        <v>0</v>
      </c>
      <c r="AG94" s="5">
        <f t="shared" si="29"/>
        <v>0</v>
      </c>
      <c r="AH94" s="3" t="str">
        <f t="shared" si="24"/>
        <v/>
      </c>
      <c r="AI94" s="5" t="str">
        <f>IF(Z94="No","",MIN(100,ROUND((AA94/Settings!$B$7)*Settings!$B$10 + IF(Y94="Yes",Settings!$B$11,0) + IF(E94="",0,E94*Settings!$B$12),0)))</f>
        <v/>
      </c>
      <c r="AJ94" s="4" t="str">
        <f t="shared" si="25"/>
        <v/>
      </c>
      <c r="AK94" s="4"/>
      <c r="AL94" s="4" t="str">
        <f t="shared" si="26"/>
        <v/>
      </c>
      <c r="AM94" s="4" t="str">
        <f t="shared" si="27"/>
        <v/>
      </c>
    </row>
    <row r="95" spans="1:39" x14ac:dyDescent="0.3">
      <c r="A95" s="2">
        <v>46155</v>
      </c>
      <c r="B95" s="3" t="s">
        <v>37</v>
      </c>
      <c r="C95" s="3"/>
      <c r="D95" s="3"/>
      <c r="E95" s="3"/>
      <c r="F95" s="4"/>
      <c r="G95" s="4"/>
      <c r="H95" s="3"/>
      <c r="I95" s="4"/>
      <c r="J95" s="3"/>
      <c r="K95" s="4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 t="str">
        <f t="shared" si="20"/>
        <v>No</v>
      </c>
      <c r="AA95" s="5" t="str">
        <f t="shared" si="21"/>
        <v/>
      </c>
      <c r="AB95" s="6" t="str">
        <f>IF(AA95="","",AA95/Settings!$B$7)</f>
        <v/>
      </c>
      <c r="AC95" s="5" t="str">
        <f t="shared" si="22"/>
        <v/>
      </c>
      <c r="AD95" s="5" t="str">
        <f t="shared" si="23"/>
        <v/>
      </c>
      <c r="AE95" s="3" t="str">
        <f>IF(Z95="No","",IF(AND(AA95&gt;=Settings!$B$4, Y95="Yes"),"Green",IF(AA95&gt;=Settings!$B$5,"Yellow","Grey")))</f>
        <v/>
      </c>
      <c r="AF95" s="5">
        <f t="shared" si="28"/>
        <v>0</v>
      </c>
      <c r="AG95" s="5">
        <f t="shared" si="29"/>
        <v>0</v>
      </c>
      <c r="AH95" s="3" t="str">
        <f t="shared" si="24"/>
        <v/>
      </c>
      <c r="AI95" s="5" t="str">
        <f>IF(Z95="No","",MIN(100,ROUND((AA95/Settings!$B$7)*Settings!$B$10 + IF(Y95="Yes",Settings!$B$11,0) + IF(E95="",0,E95*Settings!$B$12),0)))</f>
        <v/>
      </c>
      <c r="AJ95" s="4" t="str">
        <f t="shared" si="25"/>
        <v/>
      </c>
      <c r="AK95" s="4"/>
      <c r="AL95" s="4" t="str">
        <f t="shared" si="26"/>
        <v/>
      </c>
      <c r="AM95" s="4" t="str">
        <f t="shared" si="27"/>
        <v/>
      </c>
    </row>
    <row r="96" spans="1:39" x14ac:dyDescent="0.3">
      <c r="A96" s="2">
        <v>46156</v>
      </c>
      <c r="B96" s="3" t="s">
        <v>37</v>
      </c>
      <c r="C96" s="3"/>
      <c r="D96" s="3"/>
      <c r="E96" s="3"/>
      <c r="F96" s="4"/>
      <c r="G96" s="4"/>
      <c r="H96" s="3"/>
      <c r="I96" s="4"/>
      <c r="J96" s="3"/>
      <c r="K96" s="4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 t="str">
        <f t="shared" si="20"/>
        <v>No</v>
      </c>
      <c r="AA96" s="5" t="str">
        <f t="shared" si="21"/>
        <v/>
      </c>
      <c r="AB96" s="6" t="str">
        <f>IF(AA96="","",AA96/Settings!$B$7)</f>
        <v/>
      </c>
      <c r="AC96" s="5" t="str">
        <f t="shared" si="22"/>
        <v/>
      </c>
      <c r="AD96" s="5" t="str">
        <f t="shared" si="23"/>
        <v/>
      </c>
      <c r="AE96" s="3" t="str">
        <f>IF(Z96="No","",IF(AND(AA96&gt;=Settings!$B$4, Y96="Yes"),"Green",IF(AA96&gt;=Settings!$B$5,"Yellow","Grey")))</f>
        <v/>
      </c>
      <c r="AF96" s="5">
        <f t="shared" si="28"/>
        <v>0</v>
      </c>
      <c r="AG96" s="5">
        <f t="shared" si="29"/>
        <v>0</v>
      </c>
      <c r="AH96" s="3" t="str">
        <f t="shared" si="24"/>
        <v/>
      </c>
      <c r="AI96" s="5" t="str">
        <f>IF(Z96="No","",MIN(100,ROUND((AA96/Settings!$B$7)*Settings!$B$10 + IF(Y96="Yes",Settings!$B$11,0) + IF(E96="",0,E96*Settings!$B$12),0)))</f>
        <v/>
      </c>
      <c r="AJ96" s="4" t="str">
        <f t="shared" si="25"/>
        <v/>
      </c>
      <c r="AK96" s="4"/>
      <c r="AL96" s="4" t="str">
        <f t="shared" si="26"/>
        <v/>
      </c>
      <c r="AM96" s="4" t="str">
        <f t="shared" si="27"/>
        <v/>
      </c>
    </row>
    <row r="97" spans="1:39" x14ac:dyDescent="0.3">
      <c r="A97" s="2">
        <v>46157</v>
      </c>
      <c r="B97" s="3" t="s">
        <v>37</v>
      </c>
      <c r="C97" s="3"/>
      <c r="D97" s="3"/>
      <c r="E97" s="3"/>
      <c r="F97" s="4"/>
      <c r="G97" s="4"/>
      <c r="H97" s="3"/>
      <c r="I97" s="4"/>
      <c r="J97" s="3"/>
      <c r="K97" s="4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 t="str">
        <f t="shared" si="20"/>
        <v>No</v>
      </c>
      <c r="AA97" s="5" t="str">
        <f t="shared" si="21"/>
        <v/>
      </c>
      <c r="AB97" s="6" t="str">
        <f>IF(AA97="","",AA97/Settings!$B$7)</f>
        <v/>
      </c>
      <c r="AC97" s="5" t="str">
        <f t="shared" si="22"/>
        <v/>
      </c>
      <c r="AD97" s="5" t="str">
        <f t="shared" si="23"/>
        <v/>
      </c>
      <c r="AE97" s="3" t="str">
        <f>IF(Z97="No","",IF(AND(AA97&gt;=Settings!$B$4, Y97="Yes"),"Green",IF(AA97&gt;=Settings!$B$5,"Yellow","Grey")))</f>
        <v/>
      </c>
      <c r="AF97" s="5">
        <f t="shared" si="28"/>
        <v>0</v>
      </c>
      <c r="AG97" s="5">
        <f t="shared" si="29"/>
        <v>0</v>
      </c>
      <c r="AH97" s="3" t="str">
        <f t="shared" si="24"/>
        <v/>
      </c>
      <c r="AI97" s="5" t="str">
        <f>IF(Z97="No","",MIN(100,ROUND((AA97/Settings!$B$7)*Settings!$B$10 + IF(Y97="Yes",Settings!$B$11,0) + IF(E97="",0,E97*Settings!$B$12),0)))</f>
        <v/>
      </c>
      <c r="AJ97" s="4" t="str">
        <f t="shared" si="25"/>
        <v/>
      </c>
      <c r="AK97" s="4"/>
      <c r="AL97" s="4" t="str">
        <f t="shared" si="26"/>
        <v/>
      </c>
      <c r="AM97" s="4" t="str">
        <f t="shared" si="27"/>
        <v/>
      </c>
    </row>
    <row r="98" spans="1:39" x14ac:dyDescent="0.3">
      <c r="A98" s="2">
        <v>46158</v>
      </c>
      <c r="B98" s="3" t="s">
        <v>38</v>
      </c>
      <c r="C98" s="3"/>
      <c r="D98" s="3"/>
      <c r="E98" s="3"/>
      <c r="F98" s="4"/>
      <c r="G98" s="4"/>
      <c r="H98" s="3"/>
      <c r="I98" s="4"/>
      <c r="J98" s="3"/>
      <c r="K98" s="4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 t="str">
        <f t="shared" ref="Z98:Z129" si="30">IF(COUNTA(C98:Y98)&gt;0,"Yes","No")</f>
        <v>No</v>
      </c>
      <c r="AA98" s="5" t="str">
        <f t="shared" ref="AA98:AA129" si="31">IF(Z98="No","",COUNTIF(M98:X98,"✅"))</f>
        <v/>
      </c>
      <c r="AB98" s="6" t="str">
        <f>IF(AA98="","",AA98/Settings!$B$7)</f>
        <v/>
      </c>
      <c r="AC98" s="5" t="str">
        <f t="shared" ref="AC98:AC129" si="32">IF(Z98="No","",COUNTIF(H98,"✅")+COUNTIF(J98,"✅")+COUNTIF(L98,"✅"))</f>
        <v/>
      </c>
      <c r="AD98" s="5" t="str">
        <f t="shared" ref="AD98:AD129" si="33">IF(AA98="","",AA98+AC98)</f>
        <v/>
      </c>
      <c r="AE98" s="3" t="str">
        <f>IF(Z98="No","",IF(AND(AA98&gt;=Settings!$B$4, Y98="Yes"),"Green",IF(AA98&gt;=Settings!$B$5,"Yellow","Grey")))</f>
        <v/>
      </c>
      <c r="AF98" s="5">
        <f t="shared" si="28"/>
        <v>0</v>
      </c>
      <c r="AG98" s="5">
        <f t="shared" si="29"/>
        <v>0</v>
      </c>
      <c r="AH98" s="3" t="str">
        <f t="shared" ref="AH98:AH129" si="34">IF(AG98&gt;=2,"ALERT","")</f>
        <v/>
      </c>
      <c r="AI98" s="5" t="str">
        <f>IF(Z98="No","",MIN(100,ROUND((AA98/Settings!$B$7)*Settings!$B$10 + IF(Y98="Yes",Settings!$B$11,0) + IF(E98="",0,E98*Settings!$B$12),0)))</f>
        <v/>
      </c>
      <c r="AJ98" s="4" t="str">
        <f t="shared" ref="AJ98:AJ129" si="35">IF(Z98="No","",IF(M98="❌","Sleep; ","")&amp;IF(N98="❌","No Snooze; ","")&amp;IF(O98="❌","Water; ","")&amp;IF(P98="❌","Gratitude; ","")&amp;IF(Q98="❌","Meditation; ","")&amp;IF(R98="❌","Exercise; ","")&amp;IF(S98="❌","Plan Day; ","")&amp;IF(T98="❌","Deep Work; ","")&amp;IF(U98="❌","One-Tab; ","")&amp;IF(V98="❌","Writing; ","")&amp;IF(W98="❌","Reading; ","")&amp;IF(X98="❌","Tidy; ",""))</f>
        <v/>
      </c>
      <c r="AK98" s="4"/>
      <c r="AL98" s="4" t="str">
        <f t="shared" ref="AL98:AL129" si="36">IF(Z98="No","",IF(AND(G98&lt;&gt;"",H98&lt;&gt;"✅"),G98&amp;"; ","")&amp;IF(AND(I98&lt;&gt;"",J98&lt;&gt;"✅"),I98&amp;"; ","")&amp;IF(AND(K98&lt;&gt;"",L98&lt;&gt;"✅"),K98&amp;"; ",""))</f>
        <v/>
      </c>
      <c r="AM98" s="4" t="str">
        <f t="shared" ref="AM98:AM129" si="37">IF(Z98="No","",AJ98&amp;AL98)</f>
        <v/>
      </c>
    </row>
    <row r="99" spans="1:39" x14ac:dyDescent="0.3">
      <c r="A99" s="2">
        <v>46159</v>
      </c>
      <c r="B99" s="3" t="s">
        <v>38</v>
      </c>
      <c r="C99" s="3"/>
      <c r="D99" s="3"/>
      <c r="E99" s="3"/>
      <c r="F99" s="4"/>
      <c r="G99" s="4"/>
      <c r="H99" s="3"/>
      <c r="I99" s="4"/>
      <c r="J99" s="3"/>
      <c r="K99" s="4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 t="str">
        <f t="shared" si="30"/>
        <v>No</v>
      </c>
      <c r="AA99" s="5" t="str">
        <f t="shared" si="31"/>
        <v/>
      </c>
      <c r="AB99" s="6" t="str">
        <f>IF(AA99="","",AA99/Settings!$B$7)</f>
        <v/>
      </c>
      <c r="AC99" s="5" t="str">
        <f t="shared" si="32"/>
        <v/>
      </c>
      <c r="AD99" s="5" t="str">
        <f t="shared" si="33"/>
        <v/>
      </c>
      <c r="AE99" s="3" t="str">
        <f>IF(Z99="No","",IF(AND(AA99&gt;=Settings!$B$4, Y99="Yes"),"Green",IF(AA99&gt;=Settings!$B$5,"Yellow","Grey")))</f>
        <v/>
      </c>
      <c r="AF99" s="5">
        <f t="shared" ref="AF99:AF130" si="38">IF(AE99="Green",AF98+1,0)</f>
        <v>0</v>
      </c>
      <c r="AG99" s="5">
        <f t="shared" ref="AG99:AG130" si="39">IF(AE99="Grey",AG98+1,0)</f>
        <v>0</v>
      </c>
      <c r="AH99" s="3" t="str">
        <f t="shared" si="34"/>
        <v/>
      </c>
      <c r="AI99" s="5" t="str">
        <f>IF(Z99="No","",MIN(100,ROUND((AA99/Settings!$B$7)*Settings!$B$10 + IF(Y99="Yes",Settings!$B$11,0) + IF(E99="",0,E99*Settings!$B$12),0)))</f>
        <v/>
      </c>
      <c r="AJ99" s="4" t="str">
        <f t="shared" si="35"/>
        <v/>
      </c>
      <c r="AK99" s="4"/>
      <c r="AL99" s="4" t="str">
        <f t="shared" si="36"/>
        <v/>
      </c>
      <c r="AM99" s="4" t="str">
        <f t="shared" si="37"/>
        <v/>
      </c>
    </row>
    <row r="100" spans="1:39" x14ac:dyDescent="0.3">
      <c r="A100" s="2">
        <v>46160</v>
      </c>
      <c r="B100" s="3" t="s">
        <v>37</v>
      </c>
      <c r="C100" s="3"/>
      <c r="D100" s="3"/>
      <c r="E100" s="3"/>
      <c r="F100" s="4"/>
      <c r="G100" s="4"/>
      <c r="H100" s="3"/>
      <c r="I100" s="4"/>
      <c r="J100" s="3"/>
      <c r="K100" s="4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 t="str">
        <f t="shared" si="30"/>
        <v>No</v>
      </c>
      <c r="AA100" s="5" t="str">
        <f t="shared" si="31"/>
        <v/>
      </c>
      <c r="AB100" s="6" t="str">
        <f>IF(AA100="","",AA100/Settings!$B$7)</f>
        <v/>
      </c>
      <c r="AC100" s="5" t="str">
        <f t="shared" si="32"/>
        <v/>
      </c>
      <c r="AD100" s="5" t="str">
        <f t="shared" si="33"/>
        <v/>
      </c>
      <c r="AE100" s="3" t="str">
        <f>IF(Z100="No","",IF(AND(AA100&gt;=Settings!$B$4, Y100="Yes"),"Green",IF(AA100&gt;=Settings!$B$5,"Yellow","Grey")))</f>
        <v/>
      </c>
      <c r="AF100" s="5">
        <f t="shared" si="38"/>
        <v>0</v>
      </c>
      <c r="AG100" s="5">
        <f t="shared" si="39"/>
        <v>0</v>
      </c>
      <c r="AH100" s="3" t="str">
        <f t="shared" si="34"/>
        <v/>
      </c>
      <c r="AI100" s="5" t="str">
        <f>IF(Z100="No","",MIN(100,ROUND((AA100/Settings!$B$7)*Settings!$B$10 + IF(Y100="Yes",Settings!$B$11,0) + IF(E100="",0,E100*Settings!$B$12),0)))</f>
        <v/>
      </c>
      <c r="AJ100" s="4" t="str">
        <f t="shared" si="35"/>
        <v/>
      </c>
      <c r="AK100" s="4"/>
      <c r="AL100" s="4" t="str">
        <f t="shared" si="36"/>
        <v/>
      </c>
      <c r="AM100" s="4" t="str">
        <f t="shared" si="37"/>
        <v/>
      </c>
    </row>
    <row r="101" spans="1:39" x14ac:dyDescent="0.3">
      <c r="A101" s="2">
        <v>46161</v>
      </c>
      <c r="B101" s="3" t="s">
        <v>37</v>
      </c>
      <c r="C101" s="3"/>
      <c r="D101" s="3"/>
      <c r="E101" s="3"/>
      <c r="F101" s="4"/>
      <c r="G101" s="4"/>
      <c r="H101" s="3"/>
      <c r="I101" s="4"/>
      <c r="J101" s="3"/>
      <c r="K101" s="4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 t="str">
        <f t="shared" si="30"/>
        <v>No</v>
      </c>
      <c r="AA101" s="5" t="str">
        <f t="shared" si="31"/>
        <v/>
      </c>
      <c r="AB101" s="6" t="str">
        <f>IF(AA101="","",AA101/Settings!$B$7)</f>
        <v/>
      </c>
      <c r="AC101" s="5" t="str">
        <f t="shared" si="32"/>
        <v/>
      </c>
      <c r="AD101" s="5" t="str">
        <f t="shared" si="33"/>
        <v/>
      </c>
      <c r="AE101" s="3" t="str">
        <f>IF(Z101="No","",IF(AND(AA101&gt;=Settings!$B$4, Y101="Yes"),"Green",IF(AA101&gt;=Settings!$B$5,"Yellow","Grey")))</f>
        <v/>
      </c>
      <c r="AF101" s="5">
        <f t="shared" si="38"/>
        <v>0</v>
      </c>
      <c r="AG101" s="5">
        <f t="shared" si="39"/>
        <v>0</v>
      </c>
      <c r="AH101" s="3" t="str">
        <f t="shared" si="34"/>
        <v/>
      </c>
      <c r="AI101" s="5" t="str">
        <f>IF(Z101="No","",MIN(100,ROUND((AA101/Settings!$B$7)*Settings!$B$10 + IF(Y101="Yes",Settings!$B$11,0) + IF(E101="",0,E101*Settings!$B$12),0)))</f>
        <v/>
      </c>
      <c r="AJ101" s="4" t="str">
        <f t="shared" si="35"/>
        <v/>
      </c>
      <c r="AK101" s="4"/>
      <c r="AL101" s="4" t="str">
        <f t="shared" si="36"/>
        <v/>
      </c>
      <c r="AM101" s="4" t="str">
        <f t="shared" si="37"/>
        <v/>
      </c>
    </row>
    <row r="102" spans="1:39" x14ac:dyDescent="0.3">
      <c r="A102" s="2">
        <v>46162</v>
      </c>
      <c r="B102" s="3" t="s">
        <v>37</v>
      </c>
      <c r="C102" s="3"/>
      <c r="D102" s="3"/>
      <c r="E102" s="3"/>
      <c r="F102" s="4"/>
      <c r="G102" s="4"/>
      <c r="H102" s="3"/>
      <c r="I102" s="4"/>
      <c r="J102" s="3"/>
      <c r="K102" s="4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 t="str">
        <f t="shared" si="30"/>
        <v>No</v>
      </c>
      <c r="AA102" s="5" t="str">
        <f t="shared" si="31"/>
        <v/>
      </c>
      <c r="AB102" s="6" t="str">
        <f>IF(AA102="","",AA102/Settings!$B$7)</f>
        <v/>
      </c>
      <c r="AC102" s="5" t="str">
        <f t="shared" si="32"/>
        <v/>
      </c>
      <c r="AD102" s="5" t="str">
        <f t="shared" si="33"/>
        <v/>
      </c>
      <c r="AE102" s="3" t="str">
        <f>IF(Z102="No","",IF(AND(AA102&gt;=Settings!$B$4, Y102="Yes"),"Green",IF(AA102&gt;=Settings!$B$5,"Yellow","Grey")))</f>
        <v/>
      </c>
      <c r="AF102" s="5">
        <f t="shared" si="38"/>
        <v>0</v>
      </c>
      <c r="AG102" s="5">
        <f t="shared" si="39"/>
        <v>0</v>
      </c>
      <c r="AH102" s="3" t="str">
        <f t="shared" si="34"/>
        <v/>
      </c>
      <c r="AI102" s="5" t="str">
        <f>IF(Z102="No","",MIN(100,ROUND((AA102/Settings!$B$7)*Settings!$B$10 + IF(Y102="Yes",Settings!$B$11,0) + IF(E102="",0,E102*Settings!$B$12),0)))</f>
        <v/>
      </c>
      <c r="AJ102" s="4" t="str">
        <f t="shared" si="35"/>
        <v/>
      </c>
      <c r="AK102" s="4"/>
      <c r="AL102" s="4" t="str">
        <f t="shared" si="36"/>
        <v/>
      </c>
      <c r="AM102" s="4" t="str">
        <f t="shared" si="37"/>
        <v/>
      </c>
    </row>
    <row r="103" spans="1:39" x14ac:dyDescent="0.3">
      <c r="A103" s="2">
        <v>46163</v>
      </c>
      <c r="B103" s="3" t="s">
        <v>37</v>
      </c>
      <c r="C103" s="3"/>
      <c r="D103" s="3"/>
      <c r="E103" s="3"/>
      <c r="F103" s="4"/>
      <c r="G103" s="4"/>
      <c r="H103" s="3"/>
      <c r="I103" s="4"/>
      <c r="J103" s="3"/>
      <c r="K103" s="4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 t="str">
        <f t="shared" si="30"/>
        <v>No</v>
      </c>
      <c r="AA103" s="5" t="str">
        <f t="shared" si="31"/>
        <v/>
      </c>
      <c r="AB103" s="6" t="str">
        <f>IF(AA103="","",AA103/Settings!$B$7)</f>
        <v/>
      </c>
      <c r="AC103" s="5" t="str">
        <f t="shared" si="32"/>
        <v/>
      </c>
      <c r="AD103" s="5" t="str">
        <f t="shared" si="33"/>
        <v/>
      </c>
      <c r="AE103" s="3" t="str">
        <f>IF(Z103="No","",IF(AND(AA103&gt;=Settings!$B$4, Y103="Yes"),"Green",IF(AA103&gt;=Settings!$B$5,"Yellow","Grey")))</f>
        <v/>
      </c>
      <c r="AF103" s="5">
        <f t="shared" si="38"/>
        <v>0</v>
      </c>
      <c r="AG103" s="5">
        <f t="shared" si="39"/>
        <v>0</v>
      </c>
      <c r="AH103" s="3" t="str">
        <f t="shared" si="34"/>
        <v/>
      </c>
      <c r="AI103" s="5" t="str">
        <f>IF(Z103="No","",MIN(100,ROUND((AA103/Settings!$B$7)*Settings!$B$10 + IF(Y103="Yes",Settings!$B$11,0) + IF(E103="",0,E103*Settings!$B$12),0)))</f>
        <v/>
      </c>
      <c r="AJ103" s="4" t="str">
        <f t="shared" si="35"/>
        <v/>
      </c>
      <c r="AK103" s="4"/>
      <c r="AL103" s="4" t="str">
        <f t="shared" si="36"/>
        <v/>
      </c>
      <c r="AM103" s="4" t="str">
        <f t="shared" si="37"/>
        <v/>
      </c>
    </row>
    <row r="104" spans="1:39" x14ac:dyDescent="0.3">
      <c r="A104" s="2">
        <v>46164</v>
      </c>
      <c r="B104" s="3" t="s">
        <v>37</v>
      </c>
      <c r="C104" s="3"/>
      <c r="D104" s="3"/>
      <c r="E104" s="3"/>
      <c r="F104" s="4"/>
      <c r="G104" s="4"/>
      <c r="H104" s="3"/>
      <c r="I104" s="4"/>
      <c r="J104" s="3"/>
      <c r="K104" s="4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 t="str">
        <f t="shared" si="30"/>
        <v>No</v>
      </c>
      <c r="AA104" s="5" t="str">
        <f t="shared" si="31"/>
        <v/>
      </c>
      <c r="AB104" s="6" t="str">
        <f>IF(AA104="","",AA104/Settings!$B$7)</f>
        <v/>
      </c>
      <c r="AC104" s="5" t="str">
        <f t="shared" si="32"/>
        <v/>
      </c>
      <c r="AD104" s="5" t="str">
        <f t="shared" si="33"/>
        <v/>
      </c>
      <c r="AE104" s="3" t="str">
        <f>IF(Z104="No","",IF(AND(AA104&gt;=Settings!$B$4, Y104="Yes"),"Green",IF(AA104&gt;=Settings!$B$5,"Yellow","Grey")))</f>
        <v/>
      </c>
      <c r="AF104" s="5">
        <f t="shared" si="38"/>
        <v>0</v>
      </c>
      <c r="AG104" s="5">
        <f t="shared" si="39"/>
        <v>0</v>
      </c>
      <c r="AH104" s="3" t="str">
        <f t="shared" si="34"/>
        <v/>
      </c>
      <c r="AI104" s="5" t="str">
        <f>IF(Z104="No","",MIN(100,ROUND((AA104/Settings!$B$7)*Settings!$B$10 + IF(Y104="Yes",Settings!$B$11,0) + IF(E104="",0,E104*Settings!$B$12),0)))</f>
        <v/>
      </c>
      <c r="AJ104" s="4" t="str">
        <f t="shared" si="35"/>
        <v/>
      </c>
      <c r="AK104" s="4"/>
      <c r="AL104" s="4" t="str">
        <f t="shared" si="36"/>
        <v/>
      </c>
      <c r="AM104" s="4" t="str">
        <f t="shared" si="37"/>
        <v/>
      </c>
    </row>
    <row r="105" spans="1:39" x14ac:dyDescent="0.3">
      <c r="A105" s="2">
        <v>46165</v>
      </c>
      <c r="B105" s="3" t="s">
        <v>38</v>
      </c>
      <c r="C105" s="3"/>
      <c r="D105" s="3"/>
      <c r="E105" s="3"/>
      <c r="F105" s="4"/>
      <c r="G105" s="4"/>
      <c r="H105" s="3"/>
      <c r="I105" s="4"/>
      <c r="J105" s="3"/>
      <c r="K105" s="4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 t="str">
        <f t="shared" si="30"/>
        <v>No</v>
      </c>
      <c r="AA105" s="5" t="str">
        <f t="shared" si="31"/>
        <v/>
      </c>
      <c r="AB105" s="6" t="str">
        <f>IF(AA105="","",AA105/Settings!$B$7)</f>
        <v/>
      </c>
      <c r="AC105" s="5" t="str">
        <f t="shared" si="32"/>
        <v/>
      </c>
      <c r="AD105" s="5" t="str">
        <f t="shared" si="33"/>
        <v/>
      </c>
      <c r="AE105" s="3" t="str">
        <f>IF(Z105="No","",IF(AND(AA105&gt;=Settings!$B$4, Y105="Yes"),"Green",IF(AA105&gt;=Settings!$B$5,"Yellow","Grey")))</f>
        <v/>
      </c>
      <c r="AF105" s="5">
        <f t="shared" si="38"/>
        <v>0</v>
      </c>
      <c r="AG105" s="5">
        <f t="shared" si="39"/>
        <v>0</v>
      </c>
      <c r="AH105" s="3" t="str">
        <f t="shared" si="34"/>
        <v/>
      </c>
      <c r="AI105" s="5" t="str">
        <f>IF(Z105="No","",MIN(100,ROUND((AA105/Settings!$B$7)*Settings!$B$10 + IF(Y105="Yes",Settings!$B$11,0) + IF(E105="",0,E105*Settings!$B$12),0)))</f>
        <v/>
      </c>
      <c r="AJ105" s="4" t="str">
        <f t="shared" si="35"/>
        <v/>
      </c>
      <c r="AK105" s="4"/>
      <c r="AL105" s="4" t="str">
        <f t="shared" si="36"/>
        <v/>
      </c>
      <c r="AM105" s="4" t="str">
        <f t="shared" si="37"/>
        <v/>
      </c>
    </row>
    <row r="106" spans="1:39" x14ac:dyDescent="0.3">
      <c r="A106" s="2">
        <v>46166</v>
      </c>
      <c r="B106" s="3" t="s">
        <v>38</v>
      </c>
      <c r="C106" s="3"/>
      <c r="D106" s="3"/>
      <c r="E106" s="3"/>
      <c r="F106" s="4"/>
      <c r="G106" s="4"/>
      <c r="H106" s="3"/>
      <c r="I106" s="4"/>
      <c r="J106" s="3"/>
      <c r="K106" s="4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 t="str">
        <f t="shared" si="30"/>
        <v>No</v>
      </c>
      <c r="AA106" s="5" t="str">
        <f t="shared" si="31"/>
        <v/>
      </c>
      <c r="AB106" s="6" t="str">
        <f>IF(AA106="","",AA106/Settings!$B$7)</f>
        <v/>
      </c>
      <c r="AC106" s="5" t="str">
        <f t="shared" si="32"/>
        <v/>
      </c>
      <c r="AD106" s="5" t="str">
        <f t="shared" si="33"/>
        <v/>
      </c>
      <c r="AE106" s="3" t="str">
        <f>IF(Z106="No","",IF(AND(AA106&gt;=Settings!$B$4, Y106="Yes"),"Green",IF(AA106&gt;=Settings!$B$5,"Yellow","Grey")))</f>
        <v/>
      </c>
      <c r="AF106" s="5">
        <f t="shared" si="38"/>
        <v>0</v>
      </c>
      <c r="AG106" s="5">
        <f t="shared" si="39"/>
        <v>0</v>
      </c>
      <c r="AH106" s="3" t="str">
        <f t="shared" si="34"/>
        <v/>
      </c>
      <c r="AI106" s="5" t="str">
        <f>IF(Z106="No","",MIN(100,ROUND((AA106/Settings!$B$7)*Settings!$B$10 + IF(Y106="Yes",Settings!$B$11,0) + IF(E106="",0,E106*Settings!$B$12),0)))</f>
        <v/>
      </c>
      <c r="AJ106" s="4" t="str">
        <f t="shared" si="35"/>
        <v/>
      </c>
      <c r="AK106" s="4"/>
      <c r="AL106" s="4" t="str">
        <f t="shared" si="36"/>
        <v/>
      </c>
      <c r="AM106" s="4" t="str">
        <f t="shared" si="37"/>
        <v/>
      </c>
    </row>
    <row r="107" spans="1:39" x14ac:dyDescent="0.3">
      <c r="A107" s="2">
        <v>46167</v>
      </c>
      <c r="B107" s="3" t="s">
        <v>37</v>
      </c>
      <c r="C107" s="3"/>
      <c r="D107" s="3"/>
      <c r="E107" s="3"/>
      <c r="F107" s="4"/>
      <c r="G107" s="4"/>
      <c r="H107" s="3"/>
      <c r="I107" s="4"/>
      <c r="J107" s="3"/>
      <c r="K107" s="4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 t="str">
        <f t="shared" si="30"/>
        <v>No</v>
      </c>
      <c r="AA107" s="5" t="str">
        <f t="shared" si="31"/>
        <v/>
      </c>
      <c r="AB107" s="6" t="str">
        <f>IF(AA107="","",AA107/Settings!$B$7)</f>
        <v/>
      </c>
      <c r="AC107" s="5" t="str">
        <f t="shared" si="32"/>
        <v/>
      </c>
      <c r="AD107" s="5" t="str">
        <f t="shared" si="33"/>
        <v/>
      </c>
      <c r="AE107" s="3" t="str">
        <f>IF(Z107="No","",IF(AND(AA107&gt;=Settings!$B$4, Y107="Yes"),"Green",IF(AA107&gt;=Settings!$B$5,"Yellow","Grey")))</f>
        <v/>
      </c>
      <c r="AF107" s="5">
        <f t="shared" si="38"/>
        <v>0</v>
      </c>
      <c r="AG107" s="5">
        <f t="shared" si="39"/>
        <v>0</v>
      </c>
      <c r="AH107" s="3" t="str">
        <f t="shared" si="34"/>
        <v/>
      </c>
      <c r="AI107" s="5" t="str">
        <f>IF(Z107="No","",MIN(100,ROUND((AA107/Settings!$B$7)*Settings!$B$10 + IF(Y107="Yes",Settings!$B$11,0) + IF(E107="",0,E107*Settings!$B$12),0)))</f>
        <v/>
      </c>
      <c r="AJ107" s="4" t="str">
        <f t="shared" si="35"/>
        <v/>
      </c>
      <c r="AK107" s="4"/>
      <c r="AL107" s="4" t="str">
        <f t="shared" si="36"/>
        <v/>
      </c>
      <c r="AM107" s="4" t="str">
        <f t="shared" si="37"/>
        <v/>
      </c>
    </row>
    <row r="108" spans="1:39" x14ac:dyDescent="0.3">
      <c r="A108" s="2">
        <v>46168</v>
      </c>
      <c r="B108" s="3" t="s">
        <v>37</v>
      </c>
      <c r="C108" s="3"/>
      <c r="D108" s="3"/>
      <c r="E108" s="3"/>
      <c r="F108" s="4"/>
      <c r="G108" s="4"/>
      <c r="H108" s="3"/>
      <c r="I108" s="4"/>
      <c r="J108" s="3"/>
      <c r="K108" s="4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 t="str">
        <f t="shared" si="30"/>
        <v>No</v>
      </c>
      <c r="AA108" s="5" t="str">
        <f t="shared" si="31"/>
        <v/>
      </c>
      <c r="AB108" s="6" t="str">
        <f>IF(AA108="","",AA108/Settings!$B$7)</f>
        <v/>
      </c>
      <c r="AC108" s="5" t="str">
        <f t="shared" si="32"/>
        <v/>
      </c>
      <c r="AD108" s="5" t="str">
        <f t="shared" si="33"/>
        <v/>
      </c>
      <c r="AE108" s="3" t="str">
        <f>IF(Z108="No","",IF(AND(AA108&gt;=Settings!$B$4, Y108="Yes"),"Green",IF(AA108&gt;=Settings!$B$5,"Yellow","Grey")))</f>
        <v/>
      </c>
      <c r="AF108" s="5">
        <f t="shared" si="38"/>
        <v>0</v>
      </c>
      <c r="AG108" s="5">
        <f t="shared" si="39"/>
        <v>0</v>
      </c>
      <c r="AH108" s="3" t="str">
        <f t="shared" si="34"/>
        <v/>
      </c>
      <c r="AI108" s="5" t="str">
        <f>IF(Z108="No","",MIN(100,ROUND((AA108/Settings!$B$7)*Settings!$B$10 + IF(Y108="Yes",Settings!$B$11,0) + IF(E108="",0,E108*Settings!$B$12),0)))</f>
        <v/>
      </c>
      <c r="AJ108" s="4" t="str">
        <f t="shared" si="35"/>
        <v/>
      </c>
      <c r="AK108" s="4"/>
      <c r="AL108" s="4" t="str">
        <f t="shared" si="36"/>
        <v/>
      </c>
      <c r="AM108" s="4" t="str">
        <f t="shared" si="37"/>
        <v/>
      </c>
    </row>
    <row r="109" spans="1:39" x14ac:dyDescent="0.3">
      <c r="A109" s="2">
        <v>46169</v>
      </c>
      <c r="B109" s="3" t="s">
        <v>37</v>
      </c>
      <c r="C109" s="3"/>
      <c r="D109" s="3"/>
      <c r="E109" s="3"/>
      <c r="F109" s="4"/>
      <c r="G109" s="4"/>
      <c r="H109" s="3"/>
      <c r="I109" s="4"/>
      <c r="J109" s="3"/>
      <c r="K109" s="4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 t="str">
        <f t="shared" si="30"/>
        <v>No</v>
      </c>
      <c r="AA109" s="5" t="str">
        <f t="shared" si="31"/>
        <v/>
      </c>
      <c r="AB109" s="6" t="str">
        <f>IF(AA109="","",AA109/Settings!$B$7)</f>
        <v/>
      </c>
      <c r="AC109" s="5" t="str">
        <f t="shared" si="32"/>
        <v/>
      </c>
      <c r="AD109" s="5" t="str">
        <f t="shared" si="33"/>
        <v/>
      </c>
      <c r="AE109" s="3" t="str">
        <f>IF(Z109="No","",IF(AND(AA109&gt;=Settings!$B$4, Y109="Yes"),"Green",IF(AA109&gt;=Settings!$B$5,"Yellow","Grey")))</f>
        <v/>
      </c>
      <c r="AF109" s="5">
        <f t="shared" si="38"/>
        <v>0</v>
      </c>
      <c r="AG109" s="5">
        <f t="shared" si="39"/>
        <v>0</v>
      </c>
      <c r="AH109" s="3" t="str">
        <f t="shared" si="34"/>
        <v/>
      </c>
      <c r="AI109" s="5" t="str">
        <f>IF(Z109="No","",MIN(100,ROUND((AA109/Settings!$B$7)*Settings!$B$10 + IF(Y109="Yes",Settings!$B$11,0) + IF(E109="",0,E109*Settings!$B$12),0)))</f>
        <v/>
      </c>
      <c r="AJ109" s="4" t="str">
        <f t="shared" si="35"/>
        <v/>
      </c>
      <c r="AK109" s="4"/>
      <c r="AL109" s="4" t="str">
        <f t="shared" si="36"/>
        <v/>
      </c>
      <c r="AM109" s="4" t="str">
        <f t="shared" si="37"/>
        <v/>
      </c>
    </row>
    <row r="110" spans="1:39" x14ac:dyDescent="0.3">
      <c r="A110" s="2">
        <v>46170</v>
      </c>
      <c r="B110" s="3" t="s">
        <v>37</v>
      </c>
      <c r="C110" s="3"/>
      <c r="D110" s="3"/>
      <c r="E110" s="3"/>
      <c r="F110" s="4"/>
      <c r="G110" s="4"/>
      <c r="H110" s="3"/>
      <c r="I110" s="4"/>
      <c r="J110" s="3"/>
      <c r="K110" s="4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 t="str">
        <f t="shared" si="30"/>
        <v>No</v>
      </c>
      <c r="AA110" s="5" t="str">
        <f t="shared" si="31"/>
        <v/>
      </c>
      <c r="AB110" s="6" t="str">
        <f>IF(AA110="","",AA110/Settings!$B$7)</f>
        <v/>
      </c>
      <c r="AC110" s="5" t="str">
        <f t="shared" si="32"/>
        <v/>
      </c>
      <c r="AD110" s="5" t="str">
        <f t="shared" si="33"/>
        <v/>
      </c>
      <c r="AE110" s="3" t="str">
        <f>IF(Z110="No","",IF(AND(AA110&gt;=Settings!$B$4, Y110="Yes"),"Green",IF(AA110&gt;=Settings!$B$5,"Yellow","Grey")))</f>
        <v/>
      </c>
      <c r="AF110" s="5">
        <f t="shared" si="38"/>
        <v>0</v>
      </c>
      <c r="AG110" s="5">
        <f t="shared" si="39"/>
        <v>0</v>
      </c>
      <c r="AH110" s="3" t="str">
        <f t="shared" si="34"/>
        <v/>
      </c>
      <c r="AI110" s="5" t="str">
        <f>IF(Z110="No","",MIN(100,ROUND((AA110/Settings!$B$7)*Settings!$B$10 + IF(Y110="Yes",Settings!$B$11,0) + IF(E110="",0,E110*Settings!$B$12),0)))</f>
        <v/>
      </c>
      <c r="AJ110" s="4" t="str">
        <f t="shared" si="35"/>
        <v/>
      </c>
      <c r="AK110" s="4"/>
      <c r="AL110" s="4" t="str">
        <f t="shared" si="36"/>
        <v/>
      </c>
      <c r="AM110" s="4" t="str">
        <f t="shared" si="37"/>
        <v/>
      </c>
    </row>
    <row r="111" spans="1:39" x14ac:dyDescent="0.3">
      <c r="A111" s="2">
        <v>46171</v>
      </c>
      <c r="B111" s="3" t="s">
        <v>37</v>
      </c>
      <c r="C111" s="3"/>
      <c r="D111" s="3"/>
      <c r="E111" s="3"/>
      <c r="F111" s="4"/>
      <c r="G111" s="4"/>
      <c r="H111" s="3"/>
      <c r="I111" s="4"/>
      <c r="J111" s="3"/>
      <c r="K111" s="4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 t="str">
        <f t="shared" si="30"/>
        <v>No</v>
      </c>
      <c r="AA111" s="5" t="str">
        <f t="shared" si="31"/>
        <v/>
      </c>
      <c r="AB111" s="6" t="str">
        <f>IF(AA111="","",AA111/Settings!$B$7)</f>
        <v/>
      </c>
      <c r="AC111" s="5" t="str">
        <f t="shared" si="32"/>
        <v/>
      </c>
      <c r="AD111" s="5" t="str">
        <f t="shared" si="33"/>
        <v/>
      </c>
      <c r="AE111" s="3" t="str">
        <f>IF(Z111="No","",IF(AND(AA111&gt;=Settings!$B$4, Y111="Yes"),"Green",IF(AA111&gt;=Settings!$B$5,"Yellow","Grey")))</f>
        <v/>
      </c>
      <c r="AF111" s="5">
        <f t="shared" si="38"/>
        <v>0</v>
      </c>
      <c r="AG111" s="5">
        <f t="shared" si="39"/>
        <v>0</v>
      </c>
      <c r="AH111" s="3" t="str">
        <f t="shared" si="34"/>
        <v/>
      </c>
      <c r="AI111" s="5" t="str">
        <f>IF(Z111="No","",MIN(100,ROUND((AA111/Settings!$B$7)*Settings!$B$10 + IF(Y111="Yes",Settings!$B$11,0) + IF(E111="",0,E111*Settings!$B$12),0)))</f>
        <v/>
      </c>
      <c r="AJ111" s="4" t="str">
        <f t="shared" si="35"/>
        <v/>
      </c>
      <c r="AK111" s="4"/>
      <c r="AL111" s="4" t="str">
        <f t="shared" si="36"/>
        <v/>
      </c>
      <c r="AM111" s="4" t="str">
        <f t="shared" si="37"/>
        <v/>
      </c>
    </row>
    <row r="112" spans="1:39" x14ac:dyDescent="0.3">
      <c r="A112" s="2">
        <v>46172</v>
      </c>
      <c r="B112" s="3" t="s">
        <v>38</v>
      </c>
      <c r="C112" s="3"/>
      <c r="D112" s="3"/>
      <c r="E112" s="3"/>
      <c r="F112" s="4"/>
      <c r="G112" s="4"/>
      <c r="H112" s="3"/>
      <c r="I112" s="4"/>
      <c r="J112" s="3"/>
      <c r="K112" s="4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 t="str">
        <f t="shared" si="30"/>
        <v>No</v>
      </c>
      <c r="AA112" s="5" t="str">
        <f t="shared" si="31"/>
        <v/>
      </c>
      <c r="AB112" s="6" t="str">
        <f>IF(AA112="","",AA112/Settings!$B$7)</f>
        <v/>
      </c>
      <c r="AC112" s="5" t="str">
        <f t="shared" si="32"/>
        <v/>
      </c>
      <c r="AD112" s="5" t="str">
        <f t="shared" si="33"/>
        <v/>
      </c>
      <c r="AE112" s="3" t="str">
        <f>IF(Z112="No","",IF(AND(AA112&gt;=Settings!$B$4, Y112="Yes"),"Green",IF(AA112&gt;=Settings!$B$5,"Yellow","Grey")))</f>
        <v/>
      </c>
      <c r="AF112" s="5">
        <f t="shared" si="38"/>
        <v>0</v>
      </c>
      <c r="AG112" s="5">
        <f t="shared" si="39"/>
        <v>0</v>
      </c>
      <c r="AH112" s="3" t="str">
        <f t="shared" si="34"/>
        <v/>
      </c>
      <c r="AI112" s="5" t="str">
        <f>IF(Z112="No","",MIN(100,ROUND((AA112/Settings!$B$7)*Settings!$B$10 + IF(Y112="Yes",Settings!$B$11,0) + IF(E112="",0,E112*Settings!$B$12),0)))</f>
        <v/>
      </c>
      <c r="AJ112" s="4" t="str">
        <f t="shared" si="35"/>
        <v/>
      </c>
      <c r="AK112" s="4"/>
      <c r="AL112" s="4" t="str">
        <f t="shared" si="36"/>
        <v/>
      </c>
      <c r="AM112" s="4" t="str">
        <f t="shared" si="37"/>
        <v/>
      </c>
    </row>
    <row r="113" spans="1:39" x14ac:dyDescent="0.3">
      <c r="A113" s="2">
        <v>46173</v>
      </c>
      <c r="B113" s="3" t="s">
        <v>38</v>
      </c>
      <c r="C113" s="3"/>
      <c r="D113" s="3"/>
      <c r="E113" s="3"/>
      <c r="F113" s="4"/>
      <c r="G113" s="4"/>
      <c r="H113" s="3"/>
      <c r="I113" s="4"/>
      <c r="J113" s="3"/>
      <c r="K113" s="4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 t="str">
        <f t="shared" si="30"/>
        <v>No</v>
      </c>
      <c r="AA113" s="5" t="str">
        <f t="shared" si="31"/>
        <v/>
      </c>
      <c r="AB113" s="6" t="str">
        <f>IF(AA113="","",AA113/Settings!$B$7)</f>
        <v/>
      </c>
      <c r="AC113" s="5" t="str">
        <f t="shared" si="32"/>
        <v/>
      </c>
      <c r="AD113" s="5" t="str">
        <f t="shared" si="33"/>
        <v/>
      </c>
      <c r="AE113" s="3" t="str">
        <f>IF(Z113="No","",IF(AND(AA113&gt;=Settings!$B$4, Y113="Yes"),"Green",IF(AA113&gt;=Settings!$B$5,"Yellow","Grey")))</f>
        <v/>
      </c>
      <c r="AF113" s="5">
        <f t="shared" si="38"/>
        <v>0</v>
      </c>
      <c r="AG113" s="5">
        <f t="shared" si="39"/>
        <v>0</v>
      </c>
      <c r="AH113" s="3" t="str">
        <f t="shared" si="34"/>
        <v/>
      </c>
      <c r="AI113" s="5" t="str">
        <f>IF(Z113="No","",MIN(100,ROUND((AA113/Settings!$B$7)*Settings!$B$10 + IF(Y113="Yes",Settings!$B$11,0) + IF(E113="",0,E113*Settings!$B$12),0)))</f>
        <v/>
      </c>
      <c r="AJ113" s="4" t="str">
        <f t="shared" si="35"/>
        <v/>
      </c>
      <c r="AK113" s="4"/>
      <c r="AL113" s="4" t="str">
        <f t="shared" si="36"/>
        <v/>
      </c>
      <c r="AM113" s="4" t="str">
        <f t="shared" si="37"/>
        <v/>
      </c>
    </row>
    <row r="114" spans="1:39" x14ac:dyDescent="0.3">
      <c r="A114" s="2">
        <v>46174</v>
      </c>
      <c r="B114" s="3" t="s">
        <v>37</v>
      </c>
      <c r="C114" s="3"/>
      <c r="D114" s="3"/>
      <c r="E114" s="3"/>
      <c r="F114" s="4"/>
      <c r="G114" s="4"/>
      <c r="H114" s="3"/>
      <c r="I114" s="4"/>
      <c r="J114" s="3"/>
      <c r="K114" s="4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 t="str">
        <f t="shared" si="30"/>
        <v>No</v>
      </c>
      <c r="AA114" s="5" t="str">
        <f t="shared" si="31"/>
        <v/>
      </c>
      <c r="AB114" s="6" t="str">
        <f>IF(AA114="","",AA114/Settings!$B$7)</f>
        <v/>
      </c>
      <c r="AC114" s="5" t="str">
        <f t="shared" si="32"/>
        <v/>
      </c>
      <c r="AD114" s="5" t="str">
        <f t="shared" si="33"/>
        <v/>
      </c>
      <c r="AE114" s="3" t="str">
        <f>IF(Z114="No","",IF(AND(AA114&gt;=Settings!$B$4, Y114="Yes"),"Green",IF(AA114&gt;=Settings!$B$5,"Yellow","Grey")))</f>
        <v/>
      </c>
      <c r="AF114" s="5">
        <f t="shared" si="38"/>
        <v>0</v>
      </c>
      <c r="AG114" s="5">
        <f t="shared" si="39"/>
        <v>0</v>
      </c>
      <c r="AH114" s="3" t="str">
        <f t="shared" si="34"/>
        <v/>
      </c>
      <c r="AI114" s="5" t="str">
        <f>IF(Z114="No","",MIN(100,ROUND((AA114/Settings!$B$7)*Settings!$B$10 + IF(Y114="Yes",Settings!$B$11,0) + IF(E114="",0,E114*Settings!$B$12),0)))</f>
        <v/>
      </c>
      <c r="AJ114" s="4" t="str">
        <f t="shared" si="35"/>
        <v/>
      </c>
      <c r="AK114" s="4"/>
      <c r="AL114" s="4" t="str">
        <f t="shared" si="36"/>
        <v/>
      </c>
      <c r="AM114" s="4" t="str">
        <f t="shared" si="37"/>
        <v/>
      </c>
    </row>
    <row r="115" spans="1:39" x14ac:dyDescent="0.3">
      <c r="A115" s="2">
        <v>46175</v>
      </c>
      <c r="B115" s="3" t="s">
        <v>37</v>
      </c>
      <c r="C115" s="3"/>
      <c r="D115" s="3"/>
      <c r="E115" s="3"/>
      <c r="F115" s="4"/>
      <c r="G115" s="4"/>
      <c r="H115" s="3"/>
      <c r="I115" s="4"/>
      <c r="J115" s="3"/>
      <c r="K115" s="4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 t="str">
        <f t="shared" si="30"/>
        <v>No</v>
      </c>
      <c r="AA115" s="5" t="str">
        <f t="shared" si="31"/>
        <v/>
      </c>
      <c r="AB115" s="6" t="str">
        <f>IF(AA115="","",AA115/Settings!$B$7)</f>
        <v/>
      </c>
      <c r="AC115" s="5" t="str">
        <f t="shared" si="32"/>
        <v/>
      </c>
      <c r="AD115" s="5" t="str">
        <f t="shared" si="33"/>
        <v/>
      </c>
      <c r="AE115" s="3" t="str">
        <f>IF(Z115="No","",IF(AND(AA115&gt;=Settings!$B$4, Y115="Yes"),"Green",IF(AA115&gt;=Settings!$B$5,"Yellow","Grey")))</f>
        <v/>
      </c>
      <c r="AF115" s="5">
        <f t="shared" si="38"/>
        <v>0</v>
      </c>
      <c r="AG115" s="5">
        <f t="shared" si="39"/>
        <v>0</v>
      </c>
      <c r="AH115" s="3" t="str">
        <f t="shared" si="34"/>
        <v/>
      </c>
      <c r="AI115" s="5" t="str">
        <f>IF(Z115="No","",MIN(100,ROUND((AA115/Settings!$B$7)*Settings!$B$10 + IF(Y115="Yes",Settings!$B$11,0) + IF(E115="",0,E115*Settings!$B$12),0)))</f>
        <v/>
      </c>
      <c r="AJ115" s="4" t="str">
        <f t="shared" si="35"/>
        <v/>
      </c>
      <c r="AK115" s="4"/>
      <c r="AL115" s="4" t="str">
        <f t="shared" si="36"/>
        <v/>
      </c>
      <c r="AM115" s="4" t="str">
        <f t="shared" si="37"/>
        <v/>
      </c>
    </row>
    <row r="116" spans="1:39" x14ac:dyDescent="0.3">
      <c r="A116" s="2">
        <v>46176</v>
      </c>
      <c r="B116" s="3" t="s">
        <v>37</v>
      </c>
      <c r="C116" s="3"/>
      <c r="D116" s="3"/>
      <c r="E116" s="3"/>
      <c r="F116" s="4"/>
      <c r="G116" s="4"/>
      <c r="H116" s="3"/>
      <c r="I116" s="4"/>
      <c r="J116" s="3"/>
      <c r="K116" s="4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 t="str">
        <f t="shared" si="30"/>
        <v>No</v>
      </c>
      <c r="AA116" s="5" t="str">
        <f t="shared" si="31"/>
        <v/>
      </c>
      <c r="AB116" s="6" t="str">
        <f>IF(AA116="","",AA116/Settings!$B$7)</f>
        <v/>
      </c>
      <c r="AC116" s="5" t="str">
        <f t="shared" si="32"/>
        <v/>
      </c>
      <c r="AD116" s="5" t="str">
        <f t="shared" si="33"/>
        <v/>
      </c>
      <c r="AE116" s="3" t="str">
        <f>IF(Z116="No","",IF(AND(AA116&gt;=Settings!$B$4, Y116="Yes"),"Green",IF(AA116&gt;=Settings!$B$5,"Yellow","Grey")))</f>
        <v/>
      </c>
      <c r="AF116" s="5">
        <f t="shared" si="38"/>
        <v>0</v>
      </c>
      <c r="AG116" s="5">
        <f t="shared" si="39"/>
        <v>0</v>
      </c>
      <c r="AH116" s="3" t="str">
        <f t="shared" si="34"/>
        <v/>
      </c>
      <c r="AI116" s="5" t="str">
        <f>IF(Z116="No","",MIN(100,ROUND((AA116/Settings!$B$7)*Settings!$B$10 + IF(Y116="Yes",Settings!$B$11,0) + IF(E116="",0,E116*Settings!$B$12),0)))</f>
        <v/>
      </c>
      <c r="AJ116" s="4" t="str">
        <f t="shared" si="35"/>
        <v/>
      </c>
      <c r="AK116" s="4"/>
      <c r="AL116" s="4" t="str">
        <f t="shared" si="36"/>
        <v/>
      </c>
      <c r="AM116" s="4" t="str">
        <f t="shared" si="37"/>
        <v/>
      </c>
    </row>
    <row r="117" spans="1:39" x14ac:dyDescent="0.3">
      <c r="A117" s="2">
        <v>46177</v>
      </c>
      <c r="B117" s="3" t="s">
        <v>37</v>
      </c>
      <c r="C117" s="3"/>
      <c r="D117" s="3"/>
      <c r="E117" s="3"/>
      <c r="F117" s="4"/>
      <c r="G117" s="4"/>
      <c r="H117" s="3"/>
      <c r="I117" s="4"/>
      <c r="J117" s="3"/>
      <c r="K117" s="4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 t="str">
        <f t="shared" si="30"/>
        <v>No</v>
      </c>
      <c r="AA117" s="5" t="str">
        <f t="shared" si="31"/>
        <v/>
      </c>
      <c r="AB117" s="6" t="str">
        <f>IF(AA117="","",AA117/Settings!$B$7)</f>
        <v/>
      </c>
      <c r="AC117" s="5" t="str">
        <f t="shared" si="32"/>
        <v/>
      </c>
      <c r="AD117" s="5" t="str">
        <f t="shared" si="33"/>
        <v/>
      </c>
      <c r="AE117" s="3" t="str">
        <f>IF(Z117="No","",IF(AND(AA117&gt;=Settings!$B$4, Y117="Yes"),"Green",IF(AA117&gt;=Settings!$B$5,"Yellow","Grey")))</f>
        <v/>
      </c>
      <c r="AF117" s="5">
        <f t="shared" si="38"/>
        <v>0</v>
      </c>
      <c r="AG117" s="5">
        <f t="shared" si="39"/>
        <v>0</v>
      </c>
      <c r="AH117" s="3" t="str">
        <f t="shared" si="34"/>
        <v/>
      </c>
      <c r="AI117" s="5" t="str">
        <f>IF(Z117="No","",MIN(100,ROUND((AA117/Settings!$B$7)*Settings!$B$10 + IF(Y117="Yes",Settings!$B$11,0) + IF(E117="",0,E117*Settings!$B$12),0)))</f>
        <v/>
      </c>
      <c r="AJ117" s="4" t="str">
        <f t="shared" si="35"/>
        <v/>
      </c>
      <c r="AK117" s="4"/>
      <c r="AL117" s="4" t="str">
        <f t="shared" si="36"/>
        <v/>
      </c>
      <c r="AM117" s="4" t="str">
        <f t="shared" si="37"/>
        <v/>
      </c>
    </row>
    <row r="118" spans="1:39" x14ac:dyDescent="0.3">
      <c r="A118" s="2">
        <v>46178</v>
      </c>
      <c r="B118" s="3" t="s">
        <v>37</v>
      </c>
      <c r="C118" s="3"/>
      <c r="D118" s="3"/>
      <c r="E118" s="3"/>
      <c r="F118" s="4"/>
      <c r="G118" s="4"/>
      <c r="H118" s="3"/>
      <c r="I118" s="4"/>
      <c r="J118" s="3"/>
      <c r="K118" s="4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 t="str">
        <f t="shared" si="30"/>
        <v>No</v>
      </c>
      <c r="AA118" s="5" t="str">
        <f t="shared" si="31"/>
        <v/>
      </c>
      <c r="AB118" s="6" t="str">
        <f>IF(AA118="","",AA118/Settings!$B$7)</f>
        <v/>
      </c>
      <c r="AC118" s="5" t="str">
        <f t="shared" si="32"/>
        <v/>
      </c>
      <c r="AD118" s="5" t="str">
        <f t="shared" si="33"/>
        <v/>
      </c>
      <c r="AE118" s="3" t="str">
        <f>IF(Z118="No","",IF(AND(AA118&gt;=Settings!$B$4, Y118="Yes"),"Green",IF(AA118&gt;=Settings!$B$5,"Yellow","Grey")))</f>
        <v/>
      </c>
      <c r="AF118" s="5">
        <f t="shared" si="38"/>
        <v>0</v>
      </c>
      <c r="AG118" s="5">
        <f t="shared" si="39"/>
        <v>0</v>
      </c>
      <c r="AH118" s="3" t="str">
        <f t="shared" si="34"/>
        <v/>
      </c>
      <c r="AI118" s="5" t="str">
        <f>IF(Z118="No","",MIN(100,ROUND((AA118/Settings!$B$7)*Settings!$B$10 + IF(Y118="Yes",Settings!$B$11,0) + IF(E118="",0,E118*Settings!$B$12),0)))</f>
        <v/>
      </c>
      <c r="AJ118" s="4" t="str">
        <f t="shared" si="35"/>
        <v/>
      </c>
      <c r="AK118" s="4"/>
      <c r="AL118" s="4" t="str">
        <f t="shared" si="36"/>
        <v/>
      </c>
      <c r="AM118" s="4" t="str">
        <f t="shared" si="37"/>
        <v/>
      </c>
    </row>
    <row r="119" spans="1:39" x14ac:dyDescent="0.3">
      <c r="A119" s="2">
        <v>46179</v>
      </c>
      <c r="B119" s="3" t="s">
        <v>38</v>
      </c>
      <c r="C119" s="3"/>
      <c r="D119" s="3"/>
      <c r="E119" s="3"/>
      <c r="F119" s="4"/>
      <c r="G119" s="4"/>
      <c r="H119" s="3"/>
      <c r="I119" s="4"/>
      <c r="J119" s="3"/>
      <c r="K119" s="4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 t="str">
        <f t="shared" si="30"/>
        <v>No</v>
      </c>
      <c r="AA119" s="5" t="str">
        <f t="shared" si="31"/>
        <v/>
      </c>
      <c r="AB119" s="6" t="str">
        <f>IF(AA119="","",AA119/Settings!$B$7)</f>
        <v/>
      </c>
      <c r="AC119" s="5" t="str">
        <f t="shared" si="32"/>
        <v/>
      </c>
      <c r="AD119" s="5" t="str">
        <f t="shared" si="33"/>
        <v/>
      </c>
      <c r="AE119" s="3" t="str">
        <f>IF(Z119="No","",IF(AND(AA119&gt;=Settings!$B$4, Y119="Yes"),"Green",IF(AA119&gt;=Settings!$B$5,"Yellow","Grey")))</f>
        <v/>
      </c>
      <c r="AF119" s="5">
        <f t="shared" si="38"/>
        <v>0</v>
      </c>
      <c r="AG119" s="5">
        <f t="shared" si="39"/>
        <v>0</v>
      </c>
      <c r="AH119" s="3" t="str">
        <f t="shared" si="34"/>
        <v/>
      </c>
      <c r="AI119" s="5" t="str">
        <f>IF(Z119="No","",MIN(100,ROUND((AA119/Settings!$B$7)*Settings!$B$10 + IF(Y119="Yes",Settings!$B$11,0) + IF(E119="",0,E119*Settings!$B$12),0)))</f>
        <v/>
      </c>
      <c r="AJ119" s="4" t="str">
        <f t="shared" si="35"/>
        <v/>
      </c>
      <c r="AK119" s="4"/>
      <c r="AL119" s="4" t="str">
        <f t="shared" si="36"/>
        <v/>
      </c>
      <c r="AM119" s="4" t="str">
        <f t="shared" si="37"/>
        <v/>
      </c>
    </row>
    <row r="120" spans="1:39" x14ac:dyDescent="0.3">
      <c r="A120" s="2">
        <v>46180</v>
      </c>
      <c r="B120" s="3" t="s">
        <v>38</v>
      </c>
      <c r="C120" s="3"/>
      <c r="D120" s="3"/>
      <c r="E120" s="3"/>
      <c r="F120" s="4"/>
      <c r="G120" s="4"/>
      <c r="H120" s="3"/>
      <c r="I120" s="4"/>
      <c r="J120" s="3"/>
      <c r="K120" s="4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 t="str">
        <f t="shared" si="30"/>
        <v>No</v>
      </c>
      <c r="AA120" s="5" t="str">
        <f t="shared" si="31"/>
        <v/>
      </c>
      <c r="AB120" s="6" t="str">
        <f>IF(AA120="","",AA120/Settings!$B$7)</f>
        <v/>
      </c>
      <c r="AC120" s="5" t="str">
        <f t="shared" si="32"/>
        <v/>
      </c>
      <c r="AD120" s="5" t="str">
        <f t="shared" si="33"/>
        <v/>
      </c>
      <c r="AE120" s="3" t="str">
        <f>IF(Z120="No","",IF(AND(AA120&gt;=Settings!$B$4, Y120="Yes"),"Green",IF(AA120&gt;=Settings!$B$5,"Yellow","Grey")))</f>
        <v/>
      </c>
      <c r="AF120" s="5">
        <f t="shared" si="38"/>
        <v>0</v>
      </c>
      <c r="AG120" s="5">
        <f t="shared" si="39"/>
        <v>0</v>
      </c>
      <c r="AH120" s="3" t="str">
        <f t="shared" si="34"/>
        <v/>
      </c>
      <c r="AI120" s="5" t="str">
        <f>IF(Z120="No","",MIN(100,ROUND((AA120/Settings!$B$7)*Settings!$B$10 + IF(Y120="Yes",Settings!$B$11,0) + IF(E120="",0,E120*Settings!$B$12),0)))</f>
        <v/>
      </c>
      <c r="AJ120" s="4" t="str">
        <f t="shared" si="35"/>
        <v/>
      </c>
      <c r="AK120" s="4"/>
      <c r="AL120" s="4" t="str">
        <f t="shared" si="36"/>
        <v/>
      </c>
      <c r="AM120" s="4" t="str">
        <f t="shared" si="37"/>
        <v/>
      </c>
    </row>
    <row r="121" spans="1:39" x14ac:dyDescent="0.3">
      <c r="A121" s="2">
        <v>46181</v>
      </c>
      <c r="B121" s="3" t="s">
        <v>37</v>
      </c>
      <c r="C121" s="3"/>
      <c r="D121" s="3"/>
      <c r="E121" s="3"/>
      <c r="F121" s="4"/>
      <c r="G121" s="4"/>
      <c r="H121" s="3"/>
      <c r="I121" s="4"/>
      <c r="J121" s="3"/>
      <c r="K121" s="4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 t="str">
        <f t="shared" si="30"/>
        <v>No</v>
      </c>
      <c r="AA121" s="5" t="str">
        <f t="shared" si="31"/>
        <v/>
      </c>
      <c r="AB121" s="6" t="str">
        <f>IF(AA121="","",AA121/Settings!$B$7)</f>
        <v/>
      </c>
      <c r="AC121" s="5" t="str">
        <f t="shared" si="32"/>
        <v/>
      </c>
      <c r="AD121" s="5" t="str">
        <f t="shared" si="33"/>
        <v/>
      </c>
      <c r="AE121" s="3" t="str">
        <f>IF(Z121="No","",IF(AND(AA121&gt;=Settings!$B$4, Y121="Yes"),"Green",IF(AA121&gt;=Settings!$B$5,"Yellow","Grey")))</f>
        <v/>
      </c>
      <c r="AF121" s="5">
        <f t="shared" si="38"/>
        <v>0</v>
      </c>
      <c r="AG121" s="5">
        <f t="shared" si="39"/>
        <v>0</v>
      </c>
      <c r="AH121" s="3" t="str">
        <f t="shared" si="34"/>
        <v/>
      </c>
      <c r="AI121" s="5" t="str">
        <f>IF(Z121="No","",MIN(100,ROUND((AA121/Settings!$B$7)*Settings!$B$10 + IF(Y121="Yes",Settings!$B$11,0) + IF(E121="",0,E121*Settings!$B$12),0)))</f>
        <v/>
      </c>
      <c r="AJ121" s="4" t="str">
        <f t="shared" si="35"/>
        <v/>
      </c>
      <c r="AK121" s="4"/>
      <c r="AL121" s="4" t="str">
        <f t="shared" si="36"/>
        <v/>
      </c>
      <c r="AM121" s="4" t="str">
        <f t="shared" si="37"/>
        <v/>
      </c>
    </row>
    <row r="122" spans="1:39" x14ac:dyDescent="0.3">
      <c r="A122" s="2">
        <v>46182</v>
      </c>
      <c r="B122" s="3" t="s">
        <v>37</v>
      </c>
      <c r="C122" s="3"/>
      <c r="D122" s="3"/>
      <c r="E122" s="3"/>
      <c r="F122" s="4"/>
      <c r="G122" s="4"/>
      <c r="H122" s="3"/>
      <c r="I122" s="4"/>
      <c r="J122" s="3"/>
      <c r="K122" s="4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 t="str">
        <f t="shared" si="30"/>
        <v>No</v>
      </c>
      <c r="AA122" s="5" t="str">
        <f t="shared" si="31"/>
        <v/>
      </c>
      <c r="AB122" s="6" t="str">
        <f>IF(AA122="","",AA122/Settings!$B$7)</f>
        <v/>
      </c>
      <c r="AC122" s="5" t="str">
        <f t="shared" si="32"/>
        <v/>
      </c>
      <c r="AD122" s="5" t="str">
        <f t="shared" si="33"/>
        <v/>
      </c>
      <c r="AE122" s="3" t="str">
        <f>IF(Z122="No","",IF(AND(AA122&gt;=Settings!$B$4, Y122="Yes"),"Green",IF(AA122&gt;=Settings!$B$5,"Yellow","Grey")))</f>
        <v/>
      </c>
      <c r="AF122" s="5">
        <f t="shared" si="38"/>
        <v>0</v>
      </c>
      <c r="AG122" s="5">
        <f t="shared" si="39"/>
        <v>0</v>
      </c>
      <c r="AH122" s="3" t="str">
        <f t="shared" si="34"/>
        <v/>
      </c>
      <c r="AI122" s="5" t="str">
        <f>IF(Z122="No","",MIN(100,ROUND((AA122/Settings!$B$7)*Settings!$B$10 + IF(Y122="Yes",Settings!$B$11,0) + IF(E122="",0,E122*Settings!$B$12),0)))</f>
        <v/>
      </c>
      <c r="AJ122" s="4" t="str">
        <f t="shared" si="35"/>
        <v/>
      </c>
      <c r="AK122" s="4"/>
      <c r="AL122" s="4" t="str">
        <f t="shared" si="36"/>
        <v/>
      </c>
      <c r="AM122" s="4" t="str">
        <f t="shared" si="37"/>
        <v/>
      </c>
    </row>
    <row r="123" spans="1:39" x14ac:dyDescent="0.3">
      <c r="A123" s="2">
        <v>46183</v>
      </c>
      <c r="B123" s="3" t="s">
        <v>37</v>
      </c>
      <c r="C123" s="3"/>
      <c r="D123" s="3"/>
      <c r="E123" s="3"/>
      <c r="F123" s="4"/>
      <c r="G123" s="4"/>
      <c r="H123" s="3"/>
      <c r="I123" s="4"/>
      <c r="J123" s="3"/>
      <c r="K123" s="4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 t="str">
        <f t="shared" si="30"/>
        <v>No</v>
      </c>
      <c r="AA123" s="5" t="str">
        <f t="shared" si="31"/>
        <v/>
      </c>
      <c r="AB123" s="6" t="str">
        <f>IF(AA123="","",AA123/Settings!$B$7)</f>
        <v/>
      </c>
      <c r="AC123" s="5" t="str">
        <f t="shared" si="32"/>
        <v/>
      </c>
      <c r="AD123" s="5" t="str">
        <f t="shared" si="33"/>
        <v/>
      </c>
      <c r="AE123" s="3" t="str">
        <f>IF(Z123="No","",IF(AND(AA123&gt;=Settings!$B$4, Y123="Yes"),"Green",IF(AA123&gt;=Settings!$B$5,"Yellow","Grey")))</f>
        <v/>
      </c>
      <c r="AF123" s="5">
        <f t="shared" si="38"/>
        <v>0</v>
      </c>
      <c r="AG123" s="5">
        <f t="shared" si="39"/>
        <v>0</v>
      </c>
      <c r="AH123" s="3" t="str">
        <f t="shared" si="34"/>
        <v/>
      </c>
      <c r="AI123" s="5" t="str">
        <f>IF(Z123="No","",MIN(100,ROUND((AA123/Settings!$B$7)*Settings!$B$10 + IF(Y123="Yes",Settings!$B$11,0) + IF(E123="",0,E123*Settings!$B$12),0)))</f>
        <v/>
      </c>
      <c r="AJ123" s="4" t="str">
        <f t="shared" si="35"/>
        <v/>
      </c>
      <c r="AK123" s="4"/>
      <c r="AL123" s="4" t="str">
        <f t="shared" si="36"/>
        <v/>
      </c>
      <c r="AM123" s="4" t="str">
        <f t="shared" si="37"/>
        <v/>
      </c>
    </row>
    <row r="124" spans="1:39" x14ac:dyDescent="0.3">
      <c r="A124" s="2">
        <v>46184</v>
      </c>
      <c r="B124" s="3" t="s">
        <v>37</v>
      </c>
      <c r="C124" s="3"/>
      <c r="D124" s="3"/>
      <c r="E124" s="3"/>
      <c r="F124" s="4"/>
      <c r="G124" s="4"/>
      <c r="H124" s="3"/>
      <c r="I124" s="4"/>
      <c r="J124" s="3"/>
      <c r="K124" s="4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 t="str">
        <f t="shared" si="30"/>
        <v>No</v>
      </c>
      <c r="AA124" s="5" t="str">
        <f t="shared" si="31"/>
        <v/>
      </c>
      <c r="AB124" s="6" t="str">
        <f>IF(AA124="","",AA124/Settings!$B$7)</f>
        <v/>
      </c>
      <c r="AC124" s="5" t="str">
        <f t="shared" si="32"/>
        <v/>
      </c>
      <c r="AD124" s="5" t="str">
        <f t="shared" si="33"/>
        <v/>
      </c>
      <c r="AE124" s="3" t="str">
        <f>IF(Z124="No","",IF(AND(AA124&gt;=Settings!$B$4, Y124="Yes"),"Green",IF(AA124&gt;=Settings!$B$5,"Yellow","Grey")))</f>
        <v/>
      </c>
      <c r="AF124" s="5">
        <f t="shared" si="38"/>
        <v>0</v>
      </c>
      <c r="AG124" s="5">
        <f t="shared" si="39"/>
        <v>0</v>
      </c>
      <c r="AH124" s="3" t="str">
        <f t="shared" si="34"/>
        <v/>
      </c>
      <c r="AI124" s="5" t="str">
        <f>IF(Z124="No","",MIN(100,ROUND((AA124/Settings!$B$7)*Settings!$B$10 + IF(Y124="Yes",Settings!$B$11,0) + IF(E124="",0,E124*Settings!$B$12),0)))</f>
        <v/>
      </c>
      <c r="AJ124" s="4" t="str">
        <f t="shared" si="35"/>
        <v/>
      </c>
      <c r="AK124" s="4"/>
      <c r="AL124" s="4" t="str">
        <f t="shared" si="36"/>
        <v/>
      </c>
      <c r="AM124" s="4" t="str">
        <f t="shared" si="37"/>
        <v/>
      </c>
    </row>
    <row r="125" spans="1:39" x14ac:dyDescent="0.3">
      <c r="A125" s="2">
        <v>46185</v>
      </c>
      <c r="B125" s="3" t="s">
        <v>37</v>
      </c>
      <c r="C125" s="3"/>
      <c r="D125" s="3"/>
      <c r="E125" s="3"/>
      <c r="F125" s="4"/>
      <c r="G125" s="4"/>
      <c r="H125" s="3"/>
      <c r="I125" s="4"/>
      <c r="J125" s="3"/>
      <c r="K125" s="4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 t="str">
        <f t="shared" si="30"/>
        <v>No</v>
      </c>
      <c r="AA125" s="5" t="str">
        <f t="shared" si="31"/>
        <v/>
      </c>
      <c r="AB125" s="6" t="str">
        <f>IF(AA125="","",AA125/Settings!$B$7)</f>
        <v/>
      </c>
      <c r="AC125" s="5" t="str">
        <f t="shared" si="32"/>
        <v/>
      </c>
      <c r="AD125" s="5" t="str">
        <f t="shared" si="33"/>
        <v/>
      </c>
      <c r="AE125" s="3" t="str">
        <f>IF(Z125="No","",IF(AND(AA125&gt;=Settings!$B$4, Y125="Yes"),"Green",IF(AA125&gt;=Settings!$B$5,"Yellow","Grey")))</f>
        <v/>
      </c>
      <c r="AF125" s="5">
        <f t="shared" si="38"/>
        <v>0</v>
      </c>
      <c r="AG125" s="5">
        <f t="shared" si="39"/>
        <v>0</v>
      </c>
      <c r="AH125" s="3" t="str">
        <f t="shared" si="34"/>
        <v/>
      </c>
      <c r="AI125" s="5" t="str">
        <f>IF(Z125="No","",MIN(100,ROUND((AA125/Settings!$B$7)*Settings!$B$10 + IF(Y125="Yes",Settings!$B$11,0) + IF(E125="",0,E125*Settings!$B$12),0)))</f>
        <v/>
      </c>
      <c r="AJ125" s="4" t="str">
        <f t="shared" si="35"/>
        <v/>
      </c>
      <c r="AK125" s="4"/>
      <c r="AL125" s="4" t="str">
        <f t="shared" si="36"/>
        <v/>
      </c>
      <c r="AM125" s="4" t="str">
        <f t="shared" si="37"/>
        <v/>
      </c>
    </row>
    <row r="126" spans="1:39" x14ac:dyDescent="0.3">
      <c r="A126" s="2">
        <v>46186</v>
      </c>
      <c r="B126" s="3" t="s">
        <v>38</v>
      </c>
      <c r="C126" s="3"/>
      <c r="D126" s="3"/>
      <c r="E126" s="3"/>
      <c r="F126" s="4"/>
      <c r="G126" s="4"/>
      <c r="H126" s="3"/>
      <c r="I126" s="4"/>
      <c r="J126" s="3"/>
      <c r="K126" s="4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 t="str">
        <f t="shared" si="30"/>
        <v>No</v>
      </c>
      <c r="AA126" s="5" t="str">
        <f t="shared" si="31"/>
        <v/>
      </c>
      <c r="AB126" s="6" t="str">
        <f>IF(AA126="","",AA126/Settings!$B$7)</f>
        <v/>
      </c>
      <c r="AC126" s="5" t="str">
        <f t="shared" si="32"/>
        <v/>
      </c>
      <c r="AD126" s="5" t="str">
        <f t="shared" si="33"/>
        <v/>
      </c>
      <c r="AE126" s="3" t="str">
        <f>IF(Z126="No","",IF(AND(AA126&gt;=Settings!$B$4, Y126="Yes"),"Green",IF(AA126&gt;=Settings!$B$5,"Yellow","Grey")))</f>
        <v/>
      </c>
      <c r="AF126" s="5">
        <f t="shared" si="38"/>
        <v>0</v>
      </c>
      <c r="AG126" s="5">
        <f t="shared" si="39"/>
        <v>0</v>
      </c>
      <c r="AH126" s="3" t="str">
        <f t="shared" si="34"/>
        <v/>
      </c>
      <c r="AI126" s="5" t="str">
        <f>IF(Z126="No","",MIN(100,ROUND((AA126/Settings!$B$7)*Settings!$B$10 + IF(Y126="Yes",Settings!$B$11,0) + IF(E126="",0,E126*Settings!$B$12),0)))</f>
        <v/>
      </c>
      <c r="AJ126" s="4" t="str">
        <f t="shared" si="35"/>
        <v/>
      </c>
      <c r="AK126" s="4"/>
      <c r="AL126" s="4" t="str">
        <f t="shared" si="36"/>
        <v/>
      </c>
      <c r="AM126" s="4" t="str">
        <f t="shared" si="37"/>
        <v/>
      </c>
    </row>
    <row r="127" spans="1:39" x14ac:dyDescent="0.3">
      <c r="A127" s="2">
        <v>46187</v>
      </c>
      <c r="B127" s="3" t="s">
        <v>38</v>
      </c>
      <c r="C127" s="3"/>
      <c r="D127" s="3"/>
      <c r="E127" s="3"/>
      <c r="F127" s="4"/>
      <c r="G127" s="4"/>
      <c r="H127" s="3"/>
      <c r="I127" s="4"/>
      <c r="J127" s="3"/>
      <c r="K127" s="4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 t="str">
        <f t="shared" si="30"/>
        <v>No</v>
      </c>
      <c r="AA127" s="5" t="str">
        <f t="shared" si="31"/>
        <v/>
      </c>
      <c r="AB127" s="6" t="str">
        <f>IF(AA127="","",AA127/Settings!$B$7)</f>
        <v/>
      </c>
      <c r="AC127" s="5" t="str">
        <f t="shared" si="32"/>
        <v/>
      </c>
      <c r="AD127" s="5" t="str">
        <f t="shared" si="33"/>
        <v/>
      </c>
      <c r="AE127" s="3" t="str">
        <f>IF(Z127="No","",IF(AND(AA127&gt;=Settings!$B$4, Y127="Yes"),"Green",IF(AA127&gt;=Settings!$B$5,"Yellow","Grey")))</f>
        <v/>
      </c>
      <c r="AF127" s="5">
        <f t="shared" si="38"/>
        <v>0</v>
      </c>
      <c r="AG127" s="5">
        <f t="shared" si="39"/>
        <v>0</v>
      </c>
      <c r="AH127" s="3" t="str">
        <f t="shared" si="34"/>
        <v/>
      </c>
      <c r="AI127" s="5" t="str">
        <f>IF(Z127="No","",MIN(100,ROUND((AA127/Settings!$B$7)*Settings!$B$10 + IF(Y127="Yes",Settings!$B$11,0) + IF(E127="",0,E127*Settings!$B$12),0)))</f>
        <v/>
      </c>
      <c r="AJ127" s="4" t="str">
        <f t="shared" si="35"/>
        <v/>
      </c>
      <c r="AK127" s="4"/>
      <c r="AL127" s="4" t="str">
        <f t="shared" si="36"/>
        <v/>
      </c>
      <c r="AM127" s="4" t="str">
        <f t="shared" si="37"/>
        <v/>
      </c>
    </row>
    <row r="128" spans="1:39" x14ac:dyDescent="0.3">
      <c r="A128" s="2">
        <v>46188</v>
      </c>
      <c r="B128" s="3" t="s">
        <v>37</v>
      </c>
      <c r="C128" s="3"/>
      <c r="D128" s="3"/>
      <c r="E128" s="3"/>
      <c r="F128" s="4"/>
      <c r="G128" s="4"/>
      <c r="H128" s="3"/>
      <c r="I128" s="4"/>
      <c r="J128" s="3"/>
      <c r="K128" s="4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 t="str">
        <f t="shared" si="30"/>
        <v>No</v>
      </c>
      <c r="AA128" s="5" t="str">
        <f t="shared" si="31"/>
        <v/>
      </c>
      <c r="AB128" s="6" t="str">
        <f>IF(AA128="","",AA128/Settings!$B$7)</f>
        <v/>
      </c>
      <c r="AC128" s="5" t="str">
        <f t="shared" si="32"/>
        <v/>
      </c>
      <c r="AD128" s="5" t="str">
        <f t="shared" si="33"/>
        <v/>
      </c>
      <c r="AE128" s="3" t="str">
        <f>IF(Z128="No","",IF(AND(AA128&gt;=Settings!$B$4, Y128="Yes"),"Green",IF(AA128&gt;=Settings!$B$5,"Yellow","Grey")))</f>
        <v/>
      </c>
      <c r="AF128" s="5">
        <f t="shared" si="38"/>
        <v>0</v>
      </c>
      <c r="AG128" s="5">
        <f t="shared" si="39"/>
        <v>0</v>
      </c>
      <c r="AH128" s="3" t="str">
        <f t="shared" si="34"/>
        <v/>
      </c>
      <c r="AI128" s="5" t="str">
        <f>IF(Z128="No","",MIN(100,ROUND((AA128/Settings!$B$7)*Settings!$B$10 + IF(Y128="Yes",Settings!$B$11,0) + IF(E128="",0,E128*Settings!$B$12),0)))</f>
        <v/>
      </c>
      <c r="AJ128" s="4" t="str">
        <f t="shared" si="35"/>
        <v/>
      </c>
      <c r="AK128" s="4"/>
      <c r="AL128" s="4" t="str">
        <f t="shared" si="36"/>
        <v/>
      </c>
      <c r="AM128" s="4" t="str">
        <f t="shared" si="37"/>
        <v/>
      </c>
    </row>
    <row r="129" spans="1:39" x14ac:dyDescent="0.3">
      <c r="A129" s="2">
        <v>46189</v>
      </c>
      <c r="B129" s="3" t="s">
        <v>37</v>
      </c>
      <c r="C129" s="3"/>
      <c r="D129" s="3"/>
      <c r="E129" s="3"/>
      <c r="F129" s="4"/>
      <c r="G129" s="4"/>
      <c r="H129" s="3"/>
      <c r="I129" s="4"/>
      <c r="J129" s="3"/>
      <c r="K129" s="4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 t="str">
        <f t="shared" si="30"/>
        <v>No</v>
      </c>
      <c r="AA129" s="5" t="str">
        <f t="shared" si="31"/>
        <v/>
      </c>
      <c r="AB129" s="6" t="str">
        <f>IF(AA129="","",AA129/Settings!$B$7)</f>
        <v/>
      </c>
      <c r="AC129" s="5" t="str">
        <f t="shared" si="32"/>
        <v/>
      </c>
      <c r="AD129" s="5" t="str">
        <f t="shared" si="33"/>
        <v/>
      </c>
      <c r="AE129" s="3" t="str">
        <f>IF(Z129="No","",IF(AND(AA129&gt;=Settings!$B$4, Y129="Yes"),"Green",IF(AA129&gt;=Settings!$B$5,"Yellow","Grey")))</f>
        <v/>
      </c>
      <c r="AF129" s="5">
        <f t="shared" si="38"/>
        <v>0</v>
      </c>
      <c r="AG129" s="5">
        <f t="shared" si="39"/>
        <v>0</v>
      </c>
      <c r="AH129" s="3" t="str">
        <f t="shared" si="34"/>
        <v/>
      </c>
      <c r="AI129" s="5" t="str">
        <f>IF(Z129="No","",MIN(100,ROUND((AA129/Settings!$B$7)*Settings!$B$10 + IF(Y129="Yes",Settings!$B$11,0) + IF(E129="",0,E129*Settings!$B$12),0)))</f>
        <v/>
      </c>
      <c r="AJ129" s="4" t="str">
        <f t="shared" si="35"/>
        <v/>
      </c>
      <c r="AK129" s="4"/>
      <c r="AL129" s="4" t="str">
        <f t="shared" si="36"/>
        <v/>
      </c>
      <c r="AM129" s="4" t="str">
        <f t="shared" si="37"/>
        <v/>
      </c>
    </row>
    <row r="130" spans="1:39" x14ac:dyDescent="0.3">
      <c r="A130" s="2">
        <v>46190</v>
      </c>
      <c r="B130" s="3" t="s">
        <v>37</v>
      </c>
      <c r="C130" s="3"/>
      <c r="D130" s="3"/>
      <c r="E130" s="3"/>
      <c r="F130" s="4"/>
      <c r="G130" s="4"/>
      <c r="H130" s="3"/>
      <c r="I130" s="4"/>
      <c r="J130" s="3"/>
      <c r="K130" s="4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 t="str">
        <f t="shared" ref="Z130:Z161" si="40">IF(COUNTA(C130:Y130)&gt;0,"Yes","No")</f>
        <v>No</v>
      </c>
      <c r="AA130" s="5" t="str">
        <f t="shared" ref="AA130:AA161" si="41">IF(Z130="No","",COUNTIF(M130:X130,"✅"))</f>
        <v/>
      </c>
      <c r="AB130" s="6" t="str">
        <f>IF(AA130="","",AA130/Settings!$B$7)</f>
        <v/>
      </c>
      <c r="AC130" s="5" t="str">
        <f t="shared" ref="AC130:AC161" si="42">IF(Z130="No","",COUNTIF(H130,"✅")+COUNTIF(J130,"✅")+COUNTIF(L130,"✅"))</f>
        <v/>
      </c>
      <c r="AD130" s="5" t="str">
        <f t="shared" ref="AD130:AD161" si="43">IF(AA130="","",AA130+AC130)</f>
        <v/>
      </c>
      <c r="AE130" s="3" t="str">
        <f>IF(Z130="No","",IF(AND(AA130&gt;=Settings!$B$4, Y130="Yes"),"Green",IF(AA130&gt;=Settings!$B$5,"Yellow","Grey")))</f>
        <v/>
      </c>
      <c r="AF130" s="5">
        <f t="shared" si="38"/>
        <v>0</v>
      </c>
      <c r="AG130" s="5">
        <f t="shared" si="39"/>
        <v>0</v>
      </c>
      <c r="AH130" s="3" t="str">
        <f t="shared" ref="AH130:AH161" si="44">IF(AG130&gt;=2,"ALERT","")</f>
        <v/>
      </c>
      <c r="AI130" s="5" t="str">
        <f>IF(Z130="No","",MIN(100,ROUND((AA130/Settings!$B$7)*Settings!$B$10 + IF(Y130="Yes",Settings!$B$11,0) + IF(E130="",0,E130*Settings!$B$12),0)))</f>
        <v/>
      </c>
      <c r="AJ130" s="4" t="str">
        <f t="shared" ref="AJ130:AJ161" si="45">IF(Z130="No","",IF(M130="❌","Sleep; ","")&amp;IF(N130="❌","No Snooze; ","")&amp;IF(O130="❌","Water; ","")&amp;IF(P130="❌","Gratitude; ","")&amp;IF(Q130="❌","Meditation; ","")&amp;IF(R130="❌","Exercise; ","")&amp;IF(S130="❌","Plan Day; ","")&amp;IF(T130="❌","Deep Work; ","")&amp;IF(U130="❌","One-Tab; ","")&amp;IF(V130="❌","Writing; ","")&amp;IF(W130="❌","Reading; ","")&amp;IF(X130="❌","Tidy; ",""))</f>
        <v/>
      </c>
      <c r="AK130" s="4"/>
      <c r="AL130" s="4" t="str">
        <f t="shared" ref="AL130:AL161" si="46">IF(Z130="No","",IF(AND(G130&lt;&gt;"",H130&lt;&gt;"✅"),G130&amp;"; ","")&amp;IF(AND(I130&lt;&gt;"",J130&lt;&gt;"✅"),I130&amp;"; ","")&amp;IF(AND(K130&lt;&gt;"",L130&lt;&gt;"✅"),K130&amp;"; ",""))</f>
        <v/>
      </c>
      <c r="AM130" s="4" t="str">
        <f t="shared" ref="AM130:AM161" si="47">IF(Z130="No","",AJ130&amp;AL130)</f>
        <v/>
      </c>
    </row>
    <row r="131" spans="1:39" x14ac:dyDescent="0.3">
      <c r="A131" s="2">
        <v>46191</v>
      </c>
      <c r="B131" s="3" t="s">
        <v>37</v>
      </c>
      <c r="C131" s="3"/>
      <c r="D131" s="3"/>
      <c r="E131" s="3"/>
      <c r="F131" s="4"/>
      <c r="G131" s="4"/>
      <c r="H131" s="3"/>
      <c r="I131" s="4"/>
      <c r="J131" s="3"/>
      <c r="K131" s="4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 t="str">
        <f t="shared" si="40"/>
        <v>No</v>
      </c>
      <c r="AA131" s="5" t="str">
        <f t="shared" si="41"/>
        <v/>
      </c>
      <c r="AB131" s="6" t="str">
        <f>IF(AA131="","",AA131/Settings!$B$7)</f>
        <v/>
      </c>
      <c r="AC131" s="5" t="str">
        <f t="shared" si="42"/>
        <v/>
      </c>
      <c r="AD131" s="5" t="str">
        <f t="shared" si="43"/>
        <v/>
      </c>
      <c r="AE131" s="3" t="str">
        <f>IF(Z131="No","",IF(AND(AA131&gt;=Settings!$B$4, Y131="Yes"),"Green",IF(AA131&gt;=Settings!$B$5,"Yellow","Grey")))</f>
        <v/>
      </c>
      <c r="AF131" s="5">
        <f t="shared" ref="AF131:AF162" si="48">IF(AE131="Green",AF130+1,0)</f>
        <v>0</v>
      </c>
      <c r="AG131" s="5">
        <f t="shared" ref="AG131:AG162" si="49">IF(AE131="Grey",AG130+1,0)</f>
        <v>0</v>
      </c>
      <c r="AH131" s="3" t="str">
        <f t="shared" si="44"/>
        <v/>
      </c>
      <c r="AI131" s="5" t="str">
        <f>IF(Z131="No","",MIN(100,ROUND((AA131/Settings!$B$7)*Settings!$B$10 + IF(Y131="Yes",Settings!$B$11,0) + IF(E131="",0,E131*Settings!$B$12),0)))</f>
        <v/>
      </c>
      <c r="AJ131" s="4" t="str">
        <f t="shared" si="45"/>
        <v/>
      </c>
      <c r="AK131" s="4"/>
      <c r="AL131" s="4" t="str">
        <f t="shared" si="46"/>
        <v/>
      </c>
      <c r="AM131" s="4" t="str">
        <f t="shared" si="47"/>
        <v/>
      </c>
    </row>
    <row r="132" spans="1:39" x14ac:dyDescent="0.3">
      <c r="A132" s="2">
        <v>46192</v>
      </c>
      <c r="B132" s="3" t="s">
        <v>37</v>
      </c>
      <c r="C132" s="3"/>
      <c r="D132" s="3"/>
      <c r="E132" s="3"/>
      <c r="F132" s="4"/>
      <c r="G132" s="4"/>
      <c r="H132" s="3"/>
      <c r="I132" s="4"/>
      <c r="J132" s="3"/>
      <c r="K132" s="4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 t="str">
        <f t="shared" si="40"/>
        <v>No</v>
      </c>
      <c r="AA132" s="5" t="str">
        <f t="shared" si="41"/>
        <v/>
      </c>
      <c r="AB132" s="6" t="str">
        <f>IF(AA132="","",AA132/Settings!$B$7)</f>
        <v/>
      </c>
      <c r="AC132" s="5" t="str">
        <f t="shared" si="42"/>
        <v/>
      </c>
      <c r="AD132" s="5" t="str">
        <f t="shared" si="43"/>
        <v/>
      </c>
      <c r="AE132" s="3" t="str">
        <f>IF(Z132="No","",IF(AND(AA132&gt;=Settings!$B$4, Y132="Yes"),"Green",IF(AA132&gt;=Settings!$B$5,"Yellow","Grey")))</f>
        <v/>
      </c>
      <c r="AF132" s="5">
        <f t="shared" si="48"/>
        <v>0</v>
      </c>
      <c r="AG132" s="5">
        <f t="shared" si="49"/>
        <v>0</v>
      </c>
      <c r="AH132" s="3" t="str">
        <f t="shared" si="44"/>
        <v/>
      </c>
      <c r="AI132" s="5" t="str">
        <f>IF(Z132="No","",MIN(100,ROUND((AA132/Settings!$B$7)*Settings!$B$10 + IF(Y132="Yes",Settings!$B$11,0) + IF(E132="",0,E132*Settings!$B$12),0)))</f>
        <v/>
      </c>
      <c r="AJ132" s="4" t="str">
        <f t="shared" si="45"/>
        <v/>
      </c>
      <c r="AK132" s="4"/>
      <c r="AL132" s="4" t="str">
        <f t="shared" si="46"/>
        <v/>
      </c>
      <c r="AM132" s="4" t="str">
        <f t="shared" si="47"/>
        <v/>
      </c>
    </row>
    <row r="133" spans="1:39" x14ac:dyDescent="0.3">
      <c r="A133" s="2">
        <v>46193</v>
      </c>
      <c r="B133" s="3" t="s">
        <v>38</v>
      </c>
      <c r="C133" s="3"/>
      <c r="D133" s="3"/>
      <c r="E133" s="3"/>
      <c r="F133" s="4"/>
      <c r="G133" s="4"/>
      <c r="H133" s="3"/>
      <c r="I133" s="4"/>
      <c r="J133" s="3"/>
      <c r="K133" s="4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 t="str">
        <f t="shared" si="40"/>
        <v>No</v>
      </c>
      <c r="AA133" s="5" t="str">
        <f t="shared" si="41"/>
        <v/>
      </c>
      <c r="AB133" s="6" t="str">
        <f>IF(AA133="","",AA133/Settings!$B$7)</f>
        <v/>
      </c>
      <c r="AC133" s="5" t="str">
        <f t="shared" si="42"/>
        <v/>
      </c>
      <c r="AD133" s="5" t="str">
        <f t="shared" si="43"/>
        <v/>
      </c>
      <c r="AE133" s="3" t="str">
        <f>IF(Z133="No","",IF(AND(AA133&gt;=Settings!$B$4, Y133="Yes"),"Green",IF(AA133&gt;=Settings!$B$5,"Yellow","Grey")))</f>
        <v/>
      </c>
      <c r="AF133" s="5">
        <f t="shared" si="48"/>
        <v>0</v>
      </c>
      <c r="AG133" s="5">
        <f t="shared" si="49"/>
        <v>0</v>
      </c>
      <c r="AH133" s="3" t="str">
        <f t="shared" si="44"/>
        <v/>
      </c>
      <c r="AI133" s="5" t="str">
        <f>IF(Z133="No","",MIN(100,ROUND((AA133/Settings!$B$7)*Settings!$B$10 + IF(Y133="Yes",Settings!$B$11,0) + IF(E133="",0,E133*Settings!$B$12),0)))</f>
        <v/>
      </c>
      <c r="AJ133" s="4" t="str">
        <f t="shared" si="45"/>
        <v/>
      </c>
      <c r="AK133" s="4"/>
      <c r="AL133" s="4" t="str">
        <f t="shared" si="46"/>
        <v/>
      </c>
      <c r="AM133" s="4" t="str">
        <f t="shared" si="47"/>
        <v/>
      </c>
    </row>
    <row r="134" spans="1:39" x14ac:dyDescent="0.3">
      <c r="A134" s="2">
        <v>46194</v>
      </c>
      <c r="B134" s="3" t="s">
        <v>38</v>
      </c>
      <c r="C134" s="3"/>
      <c r="D134" s="3"/>
      <c r="E134" s="3"/>
      <c r="F134" s="4"/>
      <c r="G134" s="4"/>
      <c r="H134" s="3"/>
      <c r="I134" s="4"/>
      <c r="J134" s="3"/>
      <c r="K134" s="4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 t="str">
        <f t="shared" si="40"/>
        <v>No</v>
      </c>
      <c r="AA134" s="5" t="str">
        <f t="shared" si="41"/>
        <v/>
      </c>
      <c r="AB134" s="6" t="str">
        <f>IF(AA134="","",AA134/Settings!$B$7)</f>
        <v/>
      </c>
      <c r="AC134" s="5" t="str">
        <f t="shared" si="42"/>
        <v/>
      </c>
      <c r="AD134" s="5" t="str">
        <f t="shared" si="43"/>
        <v/>
      </c>
      <c r="AE134" s="3" t="str">
        <f>IF(Z134="No","",IF(AND(AA134&gt;=Settings!$B$4, Y134="Yes"),"Green",IF(AA134&gt;=Settings!$B$5,"Yellow","Grey")))</f>
        <v/>
      </c>
      <c r="AF134" s="5">
        <f t="shared" si="48"/>
        <v>0</v>
      </c>
      <c r="AG134" s="5">
        <f t="shared" si="49"/>
        <v>0</v>
      </c>
      <c r="AH134" s="3" t="str">
        <f t="shared" si="44"/>
        <v/>
      </c>
      <c r="AI134" s="5" t="str">
        <f>IF(Z134="No","",MIN(100,ROUND((AA134/Settings!$B$7)*Settings!$B$10 + IF(Y134="Yes",Settings!$B$11,0) + IF(E134="",0,E134*Settings!$B$12),0)))</f>
        <v/>
      </c>
      <c r="AJ134" s="4" t="str">
        <f t="shared" si="45"/>
        <v/>
      </c>
      <c r="AK134" s="4"/>
      <c r="AL134" s="4" t="str">
        <f t="shared" si="46"/>
        <v/>
      </c>
      <c r="AM134" s="4" t="str">
        <f t="shared" si="47"/>
        <v/>
      </c>
    </row>
    <row r="135" spans="1:39" x14ac:dyDescent="0.3">
      <c r="A135" s="2">
        <v>46195</v>
      </c>
      <c r="B135" s="3" t="s">
        <v>37</v>
      </c>
      <c r="C135" s="3"/>
      <c r="D135" s="3"/>
      <c r="E135" s="3"/>
      <c r="F135" s="4"/>
      <c r="G135" s="4"/>
      <c r="H135" s="3"/>
      <c r="I135" s="4"/>
      <c r="J135" s="3"/>
      <c r="K135" s="4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 t="str">
        <f t="shared" si="40"/>
        <v>No</v>
      </c>
      <c r="AA135" s="5" t="str">
        <f t="shared" si="41"/>
        <v/>
      </c>
      <c r="AB135" s="6" t="str">
        <f>IF(AA135="","",AA135/Settings!$B$7)</f>
        <v/>
      </c>
      <c r="AC135" s="5" t="str">
        <f t="shared" si="42"/>
        <v/>
      </c>
      <c r="AD135" s="5" t="str">
        <f t="shared" si="43"/>
        <v/>
      </c>
      <c r="AE135" s="3" t="str">
        <f>IF(Z135="No","",IF(AND(AA135&gt;=Settings!$B$4, Y135="Yes"),"Green",IF(AA135&gt;=Settings!$B$5,"Yellow","Grey")))</f>
        <v/>
      </c>
      <c r="AF135" s="5">
        <f t="shared" si="48"/>
        <v>0</v>
      </c>
      <c r="AG135" s="5">
        <f t="shared" si="49"/>
        <v>0</v>
      </c>
      <c r="AH135" s="3" t="str">
        <f t="shared" si="44"/>
        <v/>
      </c>
      <c r="AI135" s="5" t="str">
        <f>IF(Z135="No","",MIN(100,ROUND((AA135/Settings!$B$7)*Settings!$B$10 + IF(Y135="Yes",Settings!$B$11,0) + IF(E135="",0,E135*Settings!$B$12),0)))</f>
        <v/>
      </c>
      <c r="AJ135" s="4" t="str">
        <f t="shared" si="45"/>
        <v/>
      </c>
      <c r="AK135" s="4"/>
      <c r="AL135" s="4" t="str">
        <f t="shared" si="46"/>
        <v/>
      </c>
      <c r="AM135" s="4" t="str">
        <f t="shared" si="47"/>
        <v/>
      </c>
    </row>
    <row r="136" spans="1:39" x14ac:dyDescent="0.3">
      <c r="A136" s="2">
        <v>46196</v>
      </c>
      <c r="B136" s="3" t="s">
        <v>37</v>
      </c>
      <c r="C136" s="3"/>
      <c r="D136" s="3"/>
      <c r="E136" s="3"/>
      <c r="F136" s="4"/>
      <c r="G136" s="4"/>
      <c r="H136" s="3"/>
      <c r="I136" s="4"/>
      <c r="J136" s="3"/>
      <c r="K136" s="4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 t="str">
        <f t="shared" si="40"/>
        <v>No</v>
      </c>
      <c r="AA136" s="5" t="str">
        <f t="shared" si="41"/>
        <v/>
      </c>
      <c r="AB136" s="6" t="str">
        <f>IF(AA136="","",AA136/Settings!$B$7)</f>
        <v/>
      </c>
      <c r="AC136" s="5" t="str">
        <f t="shared" si="42"/>
        <v/>
      </c>
      <c r="AD136" s="5" t="str">
        <f t="shared" si="43"/>
        <v/>
      </c>
      <c r="AE136" s="3" t="str">
        <f>IF(Z136="No","",IF(AND(AA136&gt;=Settings!$B$4, Y136="Yes"),"Green",IF(AA136&gt;=Settings!$B$5,"Yellow","Grey")))</f>
        <v/>
      </c>
      <c r="AF136" s="5">
        <f t="shared" si="48"/>
        <v>0</v>
      </c>
      <c r="AG136" s="5">
        <f t="shared" si="49"/>
        <v>0</v>
      </c>
      <c r="AH136" s="3" t="str">
        <f t="shared" si="44"/>
        <v/>
      </c>
      <c r="AI136" s="5" t="str">
        <f>IF(Z136="No","",MIN(100,ROUND((AA136/Settings!$B$7)*Settings!$B$10 + IF(Y136="Yes",Settings!$B$11,0) + IF(E136="",0,E136*Settings!$B$12),0)))</f>
        <v/>
      </c>
      <c r="AJ136" s="4" t="str">
        <f t="shared" si="45"/>
        <v/>
      </c>
      <c r="AK136" s="4"/>
      <c r="AL136" s="4" t="str">
        <f t="shared" si="46"/>
        <v/>
      </c>
      <c r="AM136" s="4" t="str">
        <f t="shared" si="47"/>
        <v/>
      </c>
    </row>
    <row r="137" spans="1:39" x14ac:dyDescent="0.3">
      <c r="A137" s="2">
        <v>46197</v>
      </c>
      <c r="B137" s="3" t="s">
        <v>37</v>
      </c>
      <c r="C137" s="3"/>
      <c r="D137" s="3"/>
      <c r="E137" s="3"/>
      <c r="F137" s="4"/>
      <c r="G137" s="4"/>
      <c r="H137" s="3"/>
      <c r="I137" s="4"/>
      <c r="J137" s="3"/>
      <c r="K137" s="4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 t="str">
        <f t="shared" si="40"/>
        <v>No</v>
      </c>
      <c r="AA137" s="5" t="str">
        <f t="shared" si="41"/>
        <v/>
      </c>
      <c r="AB137" s="6" t="str">
        <f>IF(AA137="","",AA137/Settings!$B$7)</f>
        <v/>
      </c>
      <c r="AC137" s="5" t="str">
        <f t="shared" si="42"/>
        <v/>
      </c>
      <c r="AD137" s="5" t="str">
        <f t="shared" si="43"/>
        <v/>
      </c>
      <c r="AE137" s="3" t="str">
        <f>IF(Z137="No","",IF(AND(AA137&gt;=Settings!$B$4, Y137="Yes"),"Green",IF(AA137&gt;=Settings!$B$5,"Yellow","Grey")))</f>
        <v/>
      </c>
      <c r="AF137" s="5">
        <f t="shared" si="48"/>
        <v>0</v>
      </c>
      <c r="AG137" s="5">
        <f t="shared" si="49"/>
        <v>0</v>
      </c>
      <c r="AH137" s="3" t="str">
        <f t="shared" si="44"/>
        <v/>
      </c>
      <c r="AI137" s="5" t="str">
        <f>IF(Z137="No","",MIN(100,ROUND((AA137/Settings!$B$7)*Settings!$B$10 + IF(Y137="Yes",Settings!$B$11,0) + IF(E137="",0,E137*Settings!$B$12),0)))</f>
        <v/>
      </c>
      <c r="AJ137" s="4" t="str">
        <f t="shared" si="45"/>
        <v/>
      </c>
      <c r="AK137" s="4"/>
      <c r="AL137" s="4" t="str">
        <f t="shared" si="46"/>
        <v/>
      </c>
      <c r="AM137" s="4" t="str">
        <f t="shared" si="47"/>
        <v/>
      </c>
    </row>
    <row r="138" spans="1:39" x14ac:dyDescent="0.3">
      <c r="A138" s="2">
        <v>46198</v>
      </c>
      <c r="B138" s="3" t="s">
        <v>37</v>
      </c>
      <c r="C138" s="3"/>
      <c r="D138" s="3"/>
      <c r="E138" s="3"/>
      <c r="F138" s="4"/>
      <c r="G138" s="4"/>
      <c r="H138" s="3"/>
      <c r="I138" s="4"/>
      <c r="J138" s="3"/>
      <c r="K138" s="4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 t="str">
        <f t="shared" si="40"/>
        <v>No</v>
      </c>
      <c r="AA138" s="5" t="str">
        <f t="shared" si="41"/>
        <v/>
      </c>
      <c r="AB138" s="6" t="str">
        <f>IF(AA138="","",AA138/Settings!$B$7)</f>
        <v/>
      </c>
      <c r="AC138" s="5" t="str">
        <f t="shared" si="42"/>
        <v/>
      </c>
      <c r="AD138" s="5" t="str">
        <f t="shared" si="43"/>
        <v/>
      </c>
      <c r="AE138" s="3" t="str">
        <f>IF(Z138="No","",IF(AND(AA138&gt;=Settings!$B$4, Y138="Yes"),"Green",IF(AA138&gt;=Settings!$B$5,"Yellow","Grey")))</f>
        <v/>
      </c>
      <c r="AF138" s="5">
        <f t="shared" si="48"/>
        <v>0</v>
      </c>
      <c r="AG138" s="5">
        <f t="shared" si="49"/>
        <v>0</v>
      </c>
      <c r="AH138" s="3" t="str">
        <f t="shared" si="44"/>
        <v/>
      </c>
      <c r="AI138" s="5" t="str">
        <f>IF(Z138="No","",MIN(100,ROUND((AA138/Settings!$B$7)*Settings!$B$10 + IF(Y138="Yes",Settings!$B$11,0) + IF(E138="",0,E138*Settings!$B$12),0)))</f>
        <v/>
      </c>
      <c r="AJ138" s="4" t="str">
        <f t="shared" si="45"/>
        <v/>
      </c>
      <c r="AK138" s="4"/>
      <c r="AL138" s="4" t="str">
        <f t="shared" si="46"/>
        <v/>
      </c>
      <c r="AM138" s="4" t="str">
        <f t="shared" si="47"/>
        <v/>
      </c>
    </row>
    <row r="139" spans="1:39" x14ac:dyDescent="0.3">
      <c r="A139" s="2">
        <v>46199</v>
      </c>
      <c r="B139" s="3" t="s">
        <v>37</v>
      </c>
      <c r="C139" s="3"/>
      <c r="D139" s="3"/>
      <c r="E139" s="3"/>
      <c r="F139" s="4"/>
      <c r="G139" s="4"/>
      <c r="H139" s="3"/>
      <c r="I139" s="4"/>
      <c r="J139" s="3"/>
      <c r="K139" s="4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 t="str">
        <f t="shared" si="40"/>
        <v>No</v>
      </c>
      <c r="AA139" s="5" t="str">
        <f t="shared" si="41"/>
        <v/>
      </c>
      <c r="AB139" s="6" t="str">
        <f>IF(AA139="","",AA139/Settings!$B$7)</f>
        <v/>
      </c>
      <c r="AC139" s="5" t="str">
        <f t="shared" si="42"/>
        <v/>
      </c>
      <c r="AD139" s="5" t="str">
        <f t="shared" si="43"/>
        <v/>
      </c>
      <c r="AE139" s="3" t="str">
        <f>IF(Z139="No","",IF(AND(AA139&gt;=Settings!$B$4, Y139="Yes"),"Green",IF(AA139&gt;=Settings!$B$5,"Yellow","Grey")))</f>
        <v/>
      </c>
      <c r="AF139" s="5">
        <f t="shared" si="48"/>
        <v>0</v>
      </c>
      <c r="AG139" s="5">
        <f t="shared" si="49"/>
        <v>0</v>
      </c>
      <c r="AH139" s="3" t="str">
        <f t="shared" si="44"/>
        <v/>
      </c>
      <c r="AI139" s="5" t="str">
        <f>IF(Z139="No","",MIN(100,ROUND((AA139/Settings!$B$7)*Settings!$B$10 + IF(Y139="Yes",Settings!$B$11,0) + IF(E139="",0,E139*Settings!$B$12),0)))</f>
        <v/>
      </c>
      <c r="AJ139" s="4" t="str">
        <f t="shared" si="45"/>
        <v/>
      </c>
      <c r="AK139" s="4"/>
      <c r="AL139" s="4" t="str">
        <f t="shared" si="46"/>
        <v/>
      </c>
      <c r="AM139" s="4" t="str">
        <f t="shared" si="47"/>
        <v/>
      </c>
    </row>
    <row r="140" spans="1:39" x14ac:dyDescent="0.3">
      <c r="A140" s="2">
        <v>46200</v>
      </c>
      <c r="B140" s="3" t="s">
        <v>38</v>
      </c>
      <c r="C140" s="3"/>
      <c r="D140" s="3"/>
      <c r="E140" s="3"/>
      <c r="F140" s="4"/>
      <c r="G140" s="4"/>
      <c r="H140" s="3"/>
      <c r="I140" s="4"/>
      <c r="J140" s="3"/>
      <c r="K140" s="4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 t="str">
        <f t="shared" si="40"/>
        <v>No</v>
      </c>
      <c r="AA140" s="5" t="str">
        <f t="shared" si="41"/>
        <v/>
      </c>
      <c r="AB140" s="6" t="str">
        <f>IF(AA140="","",AA140/Settings!$B$7)</f>
        <v/>
      </c>
      <c r="AC140" s="5" t="str">
        <f t="shared" si="42"/>
        <v/>
      </c>
      <c r="AD140" s="5" t="str">
        <f t="shared" si="43"/>
        <v/>
      </c>
      <c r="AE140" s="3" t="str">
        <f>IF(Z140="No","",IF(AND(AA140&gt;=Settings!$B$4, Y140="Yes"),"Green",IF(AA140&gt;=Settings!$B$5,"Yellow","Grey")))</f>
        <v/>
      </c>
      <c r="AF140" s="5">
        <f t="shared" si="48"/>
        <v>0</v>
      </c>
      <c r="AG140" s="5">
        <f t="shared" si="49"/>
        <v>0</v>
      </c>
      <c r="AH140" s="3" t="str">
        <f t="shared" si="44"/>
        <v/>
      </c>
      <c r="AI140" s="5" t="str">
        <f>IF(Z140="No","",MIN(100,ROUND((AA140/Settings!$B$7)*Settings!$B$10 + IF(Y140="Yes",Settings!$B$11,0) + IF(E140="",0,E140*Settings!$B$12),0)))</f>
        <v/>
      </c>
      <c r="AJ140" s="4" t="str">
        <f t="shared" si="45"/>
        <v/>
      </c>
      <c r="AK140" s="4"/>
      <c r="AL140" s="4" t="str">
        <f t="shared" si="46"/>
        <v/>
      </c>
      <c r="AM140" s="4" t="str">
        <f t="shared" si="47"/>
        <v/>
      </c>
    </row>
    <row r="141" spans="1:39" x14ac:dyDescent="0.3">
      <c r="A141" s="2">
        <v>46201</v>
      </c>
      <c r="B141" s="3" t="s">
        <v>38</v>
      </c>
      <c r="C141" s="3"/>
      <c r="D141" s="3"/>
      <c r="E141" s="3"/>
      <c r="F141" s="4"/>
      <c r="G141" s="4"/>
      <c r="H141" s="3"/>
      <c r="I141" s="4"/>
      <c r="J141" s="3"/>
      <c r="K141" s="4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 t="str">
        <f t="shared" si="40"/>
        <v>No</v>
      </c>
      <c r="AA141" s="5" t="str">
        <f t="shared" si="41"/>
        <v/>
      </c>
      <c r="AB141" s="6" t="str">
        <f>IF(AA141="","",AA141/Settings!$B$7)</f>
        <v/>
      </c>
      <c r="AC141" s="5" t="str">
        <f t="shared" si="42"/>
        <v/>
      </c>
      <c r="AD141" s="5" t="str">
        <f t="shared" si="43"/>
        <v/>
      </c>
      <c r="AE141" s="3" t="str">
        <f>IF(Z141="No","",IF(AND(AA141&gt;=Settings!$B$4, Y141="Yes"),"Green",IF(AA141&gt;=Settings!$B$5,"Yellow","Grey")))</f>
        <v/>
      </c>
      <c r="AF141" s="5">
        <f t="shared" si="48"/>
        <v>0</v>
      </c>
      <c r="AG141" s="5">
        <f t="shared" si="49"/>
        <v>0</v>
      </c>
      <c r="AH141" s="3" t="str">
        <f t="shared" si="44"/>
        <v/>
      </c>
      <c r="AI141" s="5" t="str">
        <f>IF(Z141="No","",MIN(100,ROUND((AA141/Settings!$B$7)*Settings!$B$10 + IF(Y141="Yes",Settings!$B$11,0) + IF(E141="",0,E141*Settings!$B$12),0)))</f>
        <v/>
      </c>
      <c r="AJ141" s="4" t="str">
        <f t="shared" si="45"/>
        <v/>
      </c>
      <c r="AK141" s="4"/>
      <c r="AL141" s="4" t="str">
        <f t="shared" si="46"/>
        <v/>
      </c>
      <c r="AM141" s="4" t="str">
        <f t="shared" si="47"/>
        <v/>
      </c>
    </row>
    <row r="142" spans="1:39" x14ac:dyDescent="0.3">
      <c r="A142" s="2">
        <v>46202</v>
      </c>
      <c r="B142" s="3" t="s">
        <v>37</v>
      </c>
      <c r="C142" s="3"/>
      <c r="D142" s="3"/>
      <c r="E142" s="3"/>
      <c r="F142" s="4"/>
      <c r="G142" s="4"/>
      <c r="H142" s="3"/>
      <c r="I142" s="4"/>
      <c r="J142" s="3"/>
      <c r="K142" s="4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 t="str">
        <f t="shared" si="40"/>
        <v>No</v>
      </c>
      <c r="AA142" s="5" t="str">
        <f t="shared" si="41"/>
        <v/>
      </c>
      <c r="AB142" s="6" t="str">
        <f>IF(AA142="","",AA142/Settings!$B$7)</f>
        <v/>
      </c>
      <c r="AC142" s="5" t="str">
        <f t="shared" si="42"/>
        <v/>
      </c>
      <c r="AD142" s="5" t="str">
        <f t="shared" si="43"/>
        <v/>
      </c>
      <c r="AE142" s="3" t="str">
        <f>IF(Z142="No","",IF(AND(AA142&gt;=Settings!$B$4, Y142="Yes"),"Green",IF(AA142&gt;=Settings!$B$5,"Yellow","Grey")))</f>
        <v/>
      </c>
      <c r="AF142" s="5">
        <f t="shared" si="48"/>
        <v>0</v>
      </c>
      <c r="AG142" s="5">
        <f t="shared" si="49"/>
        <v>0</v>
      </c>
      <c r="AH142" s="3" t="str">
        <f t="shared" si="44"/>
        <v/>
      </c>
      <c r="AI142" s="5" t="str">
        <f>IF(Z142="No","",MIN(100,ROUND((AA142/Settings!$B$7)*Settings!$B$10 + IF(Y142="Yes",Settings!$B$11,0) + IF(E142="",0,E142*Settings!$B$12),0)))</f>
        <v/>
      </c>
      <c r="AJ142" s="4" t="str">
        <f t="shared" si="45"/>
        <v/>
      </c>
      <c r="AK142" s="4"/>
      <c r="AL142" s="4" t="str">
        <f t="shared" si="46"/>
        <v/>
      </c>
      <c r="AM142" s="4" t="str">
        <f t="shared" si="47"/>
        <v/>
      </c>
    </row>
    <row r="143" spans="1:39" x14ac:dyDescent="0.3">
      <c r="A143" s="2">
        <v>46203</v>
      </c>
      <c r="B143" s="3" t="s">
        <v>37</v>
      </c>
      <c r="C143" s="3"/>
      <c r="D143" s="3"/>
      <c r="E143" s="3"/>
      <c r="F143" s="4"/>
      <c r="G143" s="4"/>
      <c r="H143" s="3"/>
      <c r="I143" s="4"/>
      <c r="J143" s="3"/>
      <c r="K143" s="4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 t="str">
        <f t="shared" si="40"/>
        <v>No</v>
      </c>
      <c r="AA143" s="5" t="str">
        <f t="shared" si="41"/>
        <v/>
      </c>
      <c r="AB143" s="6" t="str">
        <f>IF(AA143="","",AA143/Settings!$B$7)</f>
        <v/>
      </c>
      <c r="AC143" s="5" t="str">
        <f t="shared" si="42"/>
        <v/>
      </c>
      <c r="AD143" s="5" t="str">
        <f t="shared" si="43"/>
        <v/>
      </c>
      <c r="AE143" s="3" t="str">
        <f>IF(Z143="No","",IF(AND(AA143&gt;=Settings!$B$4, Y143="Yes"),"Green",IF(AA143&gt;=Settings!$B$5,"Yellow","Grey")))</f>
        <v/>
      </c>
      <c r="AF143" s="5">
        <f t="shared" si="48"/>
        <v>0</v>
      </c>
      <c r="AG143" s="5">
        <f t="shared" si="49"/>
        <v>0</v>
      </c>
      <c r="AH143" s="3" t="str">
        <f t="shared" si="44"/>
        <v/>
      </c>
      <c r="AI143" s="5" t="str">
        <f>IF(Z143="No","",MIN(100,ROUND((AA143/Settings!$B$7)*Settings!$B$10 + IF(Y143="Yes",Settings!$B$11,0) + IF(E143="",0,E143*Settings!$B$12),0)))</f>
        <v/>
      </c>
      <c r="AJ143" s="4" t="str">
        <f t="shared" si="45"/>
        <v/>
      </c>
      <c r="AK143" s="4"/>
      <c r="AL143" s="4" t="str">
        <f t="shared" si="46"/>
        <v/>
      </c>
      <c r="AM143" s="4" t="str">
        <f t="shared" si="47"/>
        <v/>
      </c>
    </row>
    <row r="144" spans="1:39" x14ac:dyDescent="0.3">
      <c r="A144" s="2">
        <v>46204</v>
      </c>
      <c r="B144" s="3" t="s">
        <v>37</v>
      </c>
      <c r="C144" s="3"/>
      <c r="D144" s="3"/>
      <c r="E144" s="3"/>
      <c r="F144" s="4"/>
      <c r="G144" s="4"/>
      <c r="H144" s="3"/>
      <c r="I144" s="4"/>
      <c r="J144" s="3"/>
      <c r="K144" s="4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 t="str">
        <f t="shared" si="40"/>
        <v>No</v>
      </c>
      <c r="AA144" s="5" t="str">
        <f t="shared" si="41"/>
        <v/>
      </c>
      <c r="AB144" s="6" t="str">
        <f>IF(AA144="","",AA144/Settings!$B$7)</f>
        <v/>
      </c>
      <c r="AC144" s="5" t="str">
        <f t="shared" si="42"/>
        <v/>
      </c>
      <c r="AD144" s="5" t="str">
        <f t="shared" si="43"/>
        <v/>
      </c>
      <c r="AE144" s="3" t="str">
        <f>IF(Z144="No","",IF(AND(AA144&gt;=Settings!$B$4, Y144="Yes"),"Green",IF(AA144&gt;=Settings!$B$5,"Yellow","Grey")))</f>
        <v/>
      </c>
      <c r="AF144" s="5">
        <f t="shared" si="48"/>
        <v>0</v>
      </c>
      <c r="AG144" s="5">
        <f t="shared" si="49"/>
        <v>0</v>
      </c>
      <c r="AH144" s="3" t="str">
        <f t="shared" si="44"/>
        <v/>
      </c>
      <c r="AI144" s="5" t="str">
        <f>IF(Z144="No","",MIN(100,ROUND((AA144/Settings!$B$7)*Settings!$B$10 + IF(Y144="Yes",Settings!$B$11,0) + IF(E144="",0,E144*Settings!$B$12),0)))</f>
        <v/>
      </c>
      <c r="AJ144" s="4" t="str">
        <f t="shared" si="45"/>
        <v/>
      </c>
      <c r="AK144" s="4"/>
      <c r="AL144" s="4" t="str">
        <f t="shared" si="46"/>
        <v/>
      </c>
      <c r="AM144" s="4" t="str">
        <f t="shared" si="47"/>
        <v/>
      </c>
    </row>
    <row r="145" spans="1:39" x14ac:dyDescent="0.3">
      <c r="A145" s="2">
        <v>46205</v>
      </c>
      <c r="B145" s="3" t="s">
        <v>37</v>
      </c>
      <c r="C145" s="3"/>
      <c r="D145" s="3"/>
      <c r="E145" s="3"/>
      <c r="F145" s="4"/>
      <c r="G145" s="4"/>
      <c r="H145" s="3"/>
      <c r="I145" s="4"/>
      <c r="J145" s="3"/>
      <c r="K145" s="4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 t="str">
        <f t="shared" si="40"/>
        <v>No</v>
      </c>
      <c r="AA145" s="5" t="str">
        <f t="shared" si="41"/>
        <v/>
      </c>
      <c r="AB145" s="6" t="str">
        <f>IF(AA145="","",AA145/Settings!$B$7)</f>
        <v/>
      </c>
      <c r="AC145" s="5" t="str">
        <f t="shared" si="42"/>
        <v/>
      </c>
      <c r="AD145" s="5" t="str">
        <f t="shared" si="43"/>
        <v/>
      </c>
      <c r="AE145" s="3" t="str">
        <f>IF(Z145="No","",IF(AND(AA145&gt;=Settings!$B$4, Y145="Yes"),"Green",IF(AA145&gt;=Settings!$B$5,"Yellow","Grey")))</f>
        <v/>
      </c>
      <c r="AF145" s="5">
        <f t="shared" si="48"/>
        <v>0</v>
      </c>
      <c r="AG145" s="5">
        <f t="shared" si="49"/>
        <v>0</v>
      </c>
      <c r="AH145" s="3" t="str">
        <f t="shared" si="44"/>
        <v/>
      </c>
      <c r="AI145" s="5" t="str">
        <f>IF(Z145="No","",MIN(100,ROUND((AA145/Settings!$B$7)*Settings!$B$10 + IF(Y145="Yes",Settings!$B$11,0) + IF(E145="",0,E145*Settings!$B$12),0)))</f>
        <v/>
      </c>
      <c r="AJ145" s="4" t="str">
        <f t="shared" si="45"/>
        <v/>
      </c>
      <c r="AK145" s="4"/>
      <c r="AL145" s="4" t="str">
        <f t="shared" si="46"/>
        <v/>
      </c>
      <c r="AM145" s="4" t="str">
        <f t="shared" si="47"/>
        <v/>
      </c>
    </row>
    <row r="146" spans="1:39" x14ac:dyDescent="0.3">
      <c r="A146" s="2">
        <v>46206</v>
      </c>
      <c r="B146" s="3" t="s">
        <v>37</v>
      </c>
      <c r="C146" s="3"/>
      <c r="D146" s="3"/>
      <c r="E146" s="3"/>
      <c r="F146" s="4"/>
      <c r="G146" s="4"/>
      <c r="H146" s="3"/>
      <c r="I146" s="4"/>
      <c r="J146" s="3"/>
      <c r="K146" s="4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 t="str">
        <f t="shared" si="40"/>
        <v>No</v>
      </c>
      <c r="AA146" s="5" t="str">
        <f t="shared" si="41"/>
        <v/>
      </c>
      <c r="AB146" s="6" t="str">
        <f>IF(AA146="","",AA146/Settings!$B$7)</f>
        <v/>
      </c>
      <c r="AC146" s="5" t="str">
        <f t="shared" si="42"/>
        <v/>
      </c>
      <c r="AD146" s="5" t="str">
        <f t="shared" si="43"/>
        <v/>
      </c>
      <c r="AE146" s="3" t="str">
        <f>IF(Z146="No","",IF(AND(AA146&gt;=Settings!$B$4, Y146="Yes"),"Green",IF(AA146&gt;=Settings!$B$5,"Yellow","Grey")))</f>
        <v/>
      </c>
      <c r="AF146" s="5">
        <f t="shared" si="48"/>
        <v>0</v>
      </c>
      <c r="AG146" s="5">
        <f t="shared" si="49"/>
        <v>0</v>
      </c>
      <c r="AH146" s="3" t="str">
        <f t="shared" si="44"/>
        <v/>
      </c>
      <c r="AI146" s="5" t="str">
        <f>IF(Z146="No","",MIN(100,ROUND((AA146/Settings!$B$7)*Settings!$B$10 + IF(Y146="Yes",Settings!$B$11,0) + IF(E146="",0,E146*Settings!$B$12),0)))</f>
        <v/>
      </c>
      <c r="AJ146" s="4" t="str">
        <f t="shared" si="45"/>
        <v/>
      </c>
      <c r="AK146" s="4"/>
      <c r="AL146" s="4" t="str">
        <f t="shared" si="46"/>
        <v/>
      </c>
      <c r="AM146" s="4" t="str">
        <f t="shared" si="47"/>
        <v/>
      </c>
    </row>
    <row r="147" spans="1:39" x14ac:dyDescent="0.3">
      <c r="A147" s="2">
        <v>46207</v>
      </c>
      <c r="B147" s="3" t="s">
        <v>38</v>
      </c>
      <c r="C147" s="3"/>
      <c r="D147" s="3"/>
      <c r="E147" s="3"/>
      <c r="F147" s="4"/>
      <c r="G147" s="4"/>
      <c r="H147" s="3"/>
      <c r="I147" s="4"/>
      <c r="J147" s="3"/>
      <c r="K147" s="4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 t="str">
        <f t="shared" si="40"/>
        <v>No</v>
      </c>
      <c r="AA147" s="5" t="str">
        <f t="shared" si="41"/>
        <v/>
      </c>
      <c r="AB147" s="6" t="str">
        <f>IF(AA147="","",AA147/Settings!$B$7)</f>
        <v/>
      </c>
      <c r="AC147" s="5" t="str">
        <f t="shared" si="42"/>
        <v/>
      </c>
      <c r="AD147" s="5" t="str">
        <f t="shared" si="43"/>
        <v/>
      </c>
      <c r="AE147" s="3" t="str">
        <f>IF(Z147="No","",IF(AND(AA147&gt;=Settings!$B$4, Y147="Yes"),"Green",IF(AA147&gt;=Settings!$B$5,"Yellow","Grey")))</f>
        <v/>
      </c>
      <c r="AF147" s="5">
        <f t="shared" si="48"/>
        <v>0</v>
      </c>
      <c r="AG147" s="5">
        <f t="shared" si="49"/>
        <v>0</v>
      </c>
      <c r="AH147" s="3" t="str">
        <f t="shared" si="44"/>
        <v/>
      </c>
      <c r="AI147" s="5" t="str">
        <f>IF(Z147="No","",MIN(100,ROUND((AA147/Settings!$B$7)*Settings!$B$10 + IF(Y147="Yes",Settings!$B$11,0) + IF(E147="",0,E147*Settings!$B$12),0)))</f>
        <v/>
      </c>
      <c r="AJ147" s="4" t="str">
        <f t="shared" si="45"/>
        <v/>
      </c>
      <c r="AK147" s="4"/>
      <c r="AL147" s="4" t="str">
        <f t="shared" si="46"/>
        <v/>
      </c>
      <c r="AM147" s="4" t="str">
        <f t="shared" si="47"/>
        <v/>
      </c>
    </row>
    <row r="148" spans="1:39" x14ac:dyDescent="0.3">
      <c r="A148" s="2">
        <v>46208</v>
      </c>
      <c r="B148" s="3" t="s">
        <v>38</v>
      </c>
      <c r="C148" s="3"/>
      <c r="D148" s="3"/>
      <c r="E148" s="3"/>
      <c r="F148" s="4"/>
      <c r="G148" s="4"/>
      <c r="H148" s="3"/>
      <c r="I148" s="4"/>
      <c r="J148" s="3"/>
      <c r="K148" s="4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 t="str">
        <f t="shared" si="40"/>
        <v>No</v>
      </c>
      <c r="AA148" s="5" t="str">
        <f t="shared" si="41"/>
        <v/>
      </c>
      <c r="AB148" s="6" t="str">
        <f>IF(AA148="","",AA148/Settings!$B$7)</f>
        <v/>
      </c>
      <c r="AC148" s="5" t="str">
        <f t="shared" si="42"/>
        <v/>
      </c>
      <c r="AD148" s="5" t="str">
        <f t="shared" si="43"/>
        <v/>
      </c>
      <c r="AE148" s="3" t="str">
        <f>IF(Z148="No","",IF(AND(AA148&gt;=Settings!$B$4, Y148="Yes"),"Green",IF(AA148&gt;=Settings!$B$5,"Yellow","Grey")))</f>
        <v/>
      </c>
      <c r="AF148" s="5">
        <f t="shared" si="48"/>
        <v>0</v>
      </c>
      <c r="AG148" s="5">
        <f t="shared" si="49"/>
        <v>0</v>
      </c>
      <c r="AH148" s="3" t="str">
        <f t="shared" si="44"/>
        <v/>
      </c>
      <c r="AI148" s="5" t="str">
        <f>IF(Z148="No","",MIN(100,ROUND((AA148/Settings!$B$7)*Settings!$B$10 + IF(Y148="Yes",Settings!$B$11,0) + IF(E148="",0,E148*Settings!$B$12),0)))</f>
        <v/>
      </c>
      <c r="AJ148" s="4" t="str">
        <f t="shared" si="45"/>
        <v/>
      </c>
      <c r="AK148" s="4"/>
      <c r="AL148" s="4" t="str">
        <f t="shared" si="46"/>
        <v/>
      </c>
      <c r="AM148" s="4" t="str">
        <f t="shared" si="47"/>
        <v/>
      </c>
    </row>
    <row r="149" spans="1:39" x14ac:dyDescent="0.3">
      <c r="A149" s="2">
        <v>46209</v>
      </c>
      <c r="B149" s="3" t="s">
        <v>37</v>
      </c>
      <c r="C149" s="3"/>
      <c r="D149" s="3"/>
      <c r="E149" s="3"/>
      <c r="F149" s="4"/>
      <c r="G149" s="4"/>
      <c r="H149" s="3"/>
      <c r="I149" s="4"/>
      <c r="J149" s="3"/>
      <c r="K149" s="4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 t="str">
        <f t="shared" si="40"/>
        <v>No</v>
      </c>
      <c r="AA149" s="5" t="str">
        <f t="shared" si="41"/>
        <v/>
      </c>
      <c r="AB149" s="6" t="str">
        <f>IF(AA149="","",AA149/Settings!$B$7)</f>
        <v/>
      </c>
      <c r="AC149" s="5" t="str">
        <f t="shared" si="42"/>
        <v/>
      </c>
      <c r="AD149" s="5" t="str">
        <f t="shared" si="43"/>
        <v/>
      </c>
      <c r="AE149" s="3" t="str">
        <f>IF(Z149="No","",IF(AND(AA149&gt;=Settings!$B$4, Y149="Yes"),"Green",IF(AA149&gt;=Settings!$B$5,"Yellow","Grey")))</f>
        <v/>
      </c>
      <c r="AF149" s="5">
        <f t="shared" si="48"/>
        <v>0</v>
      </c>
      <c r="AG149" s="5">
        <f t="shared" si="49"/>
        <v>0</v>
      </c>
      <c r="AH149" s="3" t="str">
        <f t="shared" si="44"/>
        <v/>
      </c>
      <c r="AI149" s="5" t="str">
        <f>IF(Z149="No","",MIN(100,ROUND((AA149/Settings!$B$7)*Settings!$B$10 + IF(Y149="Yes",Settings!$B$11,0) + IF(E149="",0,E149*Settings!$B$12),0)))</f>
        <v/>
      </c>
      <c r="AJ149" s="4" t="str">
        <f t="shared" si="45"/>
        <v/>
      </c>
      <c r="AK149" s="4"/>
      <c r="AL149" s="4" t="str">
        <f t="shared" si="46"/>
        <v/>
      </c>
      <c r="AM149" s="4" t="str">
        <f t="shared" si="47"/>
        <v/>
      </c>
    </row>
    <row r="150" spans="1:39" x14ac:dyDescent="0.3">
      <c r="A150" s="2">
        <v>46210</v>
      </c>
      <c r="B150" s="3" t="s">
        <v>37</v>
      </c>
      <c r="C150" s="3"/>
      <c r="D150" s="3"/>
      <c r="E150" s="3"/>
      <c r="F150" s="4"/>
      <c r="G150" s="4"/>
      <c r="H150" s="3"/>
      <c r="I150" s="4"/>
      <c r="J150" s="3"/>
      <c r="K150" s="4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 t="str">
        <f t="shared" si="40"/>
        <v>No</v>
      </c>
      <c r="AA150" s="5" t="str">
        <f t="shared" si="41"/>
        <v/>
      </c>
      <c r="AB150" s="6" t="str">
        <f>IF(AA150="","",AA150/Settings!$B$7)</f>
        <v/>
      </c>
      <c r="AC150" s="5" t="str">
        <f t="shared" si="42"/>
        <v/>
      </c>
      <c r="AD150" s="5" t="str">
        <f t="shared" si="43"/>
        <v/>
      </c>
      <c r="AE150" s="3" t="str">
        <f>IF(Z150="No","",IF(AND(AA150&gt;=Settings!$B$4, Y150="Yes"),"Green",IF(AA150&gt;=Settings!$B$5,"Yellow","Grey")))</f>
        <v/>
      </c>
      <c r="AF150" s="5">
        <f t="shared" si="48"/>
        <v>0</v>
      </c>
      <c r="AG150" s="5">
        <f t="shared" si="49"/>
        <v>0</v>
      </c>
      <c r="AH150" s="3" t="str">
        <f t="shared" si="44"/>
        <v/>
      </c>
      <c r="AI150" s="5" t="str">
        <f>IF(Z150="No","",MIN(100,ROUND((AA150/Settings!$B$7)*Settings!$B$10 + IF(Y150="Yes",Settings!$B$11,0) + IF(E150="",0,E150*Settings!$B$12),0)))</f>
        <v/>
      </c>
      <c r="AJ150" s="4" t="str">
        <f t="shared" si="45"/>
        <v/>
      </c>
      <c r="AK150" s="4"/>
      <c r="AL150" s="4" t="str">
        <f t="shared" si="46"/>
        <v/>
      </c>
      <c r="AM150" s="4" t="str">
        <f t="shared" si="47"/>
        <v/>
      </c>
    </row>
    <row r="151" spans="1:39" x14ac:dyDescent="0.3">
      <c r="A151" s="2">
        <v>46211</v>
      </c>
      <c r="B151" s="3" t="s">
        <v>37</v>
      </c>
      <c r="C151" s="3"/>
      <c r="D151" s="3"/>
      <c r="E151" s="3"/>
      <c r="F151" s="4"/>
      <c r="G151" s="4"/>
      <c r="H151" s="3"/>
      <c r="I151" s="4"/>
      <c r="J151" s="3"/>
      <c r="K151" s="4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 t="str">
        <f t="shared" si="40"/>
        <v>No</v>
      </c>
      <c r="AA151" s="5" t="str">
        <f t="shared" si="41"/>
        <v/>
      </c>
      <c r="AB151" s="6" t="str">
        <f>IF(AA151="","",AA151/Settings!$B$7)</f>
        <v/>
      </c>
      <c r="AC151" s="5" t="str">
        <f t="shared" si="42"/>
        <v/>
      </c>
      <c r="AD151" s="5" t="str">
        <f t="shared" si="43"/>
        <v/>
      </c>
      <c r="AE151" s="3" t="str">
        <f>IF(Z151="No","",IF(AND(AA151&gt;=Settings!$B$4, Y151="Yes"),"Green",IF(AA151&gt;=Settings!$B$5,"Yellow","Grey")))</f>
        <v/>
      </c>
      <c r="AF151" s="5">
        <f t="shared" si="48"/>
        <v>0</v>
      </c>
      <c r="AG151" s="5">
        <f t="shared" si="49"/>
        <v>0</v>
      </c>
      <c r="AH151" s="3" t="str">
        <f t="shared" si="44"/>
        <v/>
      </c>
      <c r="AI151" s="5" t="str">
        <f>IF(Z151="No","",MIN(100,ROUND((AA151/Settings!$B$7)*Settings!$B$10 + IF(Y151="Yes",Settings!$B$11,0) + IF(E151="",0,E151*Settings!$B$12),0)))</f>
        <v/>
      </c>
      <c r="AJ151" s="4" t="str">
        <f t="shared" si="45"/>
        <v/>
      </c>
      <c r="AK151" s="4"/>
      <c r="AL151" s="4" t="str">
        <f t="shared" si="46"/>
        <v/>
      </c>
      <c r="AM151" s="4" t="str">
        <f t="shared" si="47"/>
        <v/>
      </c>
    </row>
    <row r="152" spans="1:39" x14ac:dyDescent="0.3">
      <c r="A152" s="2">
        <v>46212</v>
      </c>
      <c r="B152" s="3" t="s">
        <v>37</v>
      </c>
      <c r="C152" s="3"/>
      <c r="D152" s="3"/>
      <c r="E152" s="3"/>
      <c r="F152" s="4"/>
      <c r="G152" s="4"/>
      <c r="H152" s="3"/>
      <c r="I152" s="4"/>
      <c r="J152" s="3"/>
      <c r="K152" s="4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 t="str">
        <f t="shared" si="40"/>
        <v>No</v>
      </c>
      <c r="AA152" s="5" t="str">
        <f t="shared" si="41"/>
        <v/>
      </c>
      <c r="AB152" s="6" t="str">
        <f>IF(AA152="","",AA152/Settings!$B$7)</f>
        <v/>
      </c>
      <c r="AC152" s="5" t="str">
        <f t="shared" si="42"/>
        <v/>
      </c>
      <c r="AD152" s="5" t="str">
        <f t="shared" si="43"/>
        <v/>
      </c>
      <c r="AE152" s="3" t="str">
        <f>IF(Z152="No","",IF(AND(AA152&gt;=Settings!$B$4, Y152="Yes"),"Green",IF(AA152&gt;=Settings!$B$5,"Yellow","Grey")))</f>
        <v/>
      </c>
      <c r="AF152" s="5">
        <f t="shared" si="48"/>
        <v>0</v>
      </c>
      <c r="AG152" s="5">
        <f t="shared" si="49"/>
        <v>0</v>
      </c>
      <c r="AH152" s="3" t="str">
        <f t="shared" si="44"/>
        <v/>
      </c>
      <c r="AI152" s="5" t="str">
        <f>IF(Z152="No","",MIN(100,ROUND((AA152/Settings!$B$7)*Settings!$B$10 + IF(Y152="Yes",Settings!$B$11,0) + IF(E152="",0,E152*Settings!$B$12),0)))</f>
        <v/>
      </c>
      <c r="AJ152" s="4" t="str">
        <f t="shared" si="45"/>
        <v/>
      </c>
      <c r="AK152" s="4"/>
      <c r="AL152" s="4" t="str">
        <f t="shared" si="46"/>
        <v/>
      </c>
      <c r="AM152" s="4" t="str">
        <f t="shared" si="47"/>
        <v/>
      </c>
    </row>
    <row r="153" spans="1:39" x14ac:dyDescent="0.3">
      <c r="A153" s="2">
        <v>46213</v>
      </c>
      <c r="B153" s="3" t="s">
        <v>37</v>
      </c>
      <c r="C153" s="3"/>
      <c r="D153" s="3"/>
      <c r="E153" s="3"/>
      <c r="F153" s="4"/>
      <c r="G153" s="4"/>
      <c r="H153" s="3"/>
      <c r="I153" s="4"/>
      <c r="J153" s="3"/>
      <c r="K153" s="4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 t="str">
        <f t="shared" si="40"/>
        <v>No</v>
      </c>
      <c r="AA153" s="5" t="str">
        <f t="shared" si="41"/>
        <v/>
      </c>
      <c r="AB153" s="6" t="str">
        <f>IF(AA153="","",AA153/Settings!$B$7)</f>
        <v/>
      </c>
      <c r="AC153" s="5" t="str">
        <f t="shared" si="42"/>
        <v/>
      </c>
      <c r="AD153" s="5" t="str">
        <f t="shared" si="43"/>
        <v/>
      </c>
      <c r="AE153" s="3" t="str">
        <f>IF(Z153="No","",IF(AND(AA153&gt;=Settings!$B$4, Y153="Yes"),"Green",IF(AA153&gt;=Settings!$B$5,"Yellow","Grey")))</f>
        <v/>
      </c>
      <c r="AF153" s="5">
        <f t="shared" si="48"/>
        <v>0</v>
      </c>
      <c r="AG153" s="5">
        <f t="shared" si="49"/>
        <v>0</v>
      </c>
      <c r="AH153" s="3" t="str">
        <f t="shared" si="44"/>
        <v/>
      </c>
      <c r="AI153" s="5" t="str">
        <f>IF(Z153="No","",MIN(100,ROUND((AA153/Settings!$B$7)*Settings!$B$10 + IF(Y153="Yes",Settings!$B$11,0) + IF(E153="",0,E153*Settings!$B$12),0)))</f>
        <v/>
      </c>
      <c r="AJ153" s="4" t="str">
        <f t="shared" si="45"/>
        <v/>
      </c>
      <c r="AK153" s="4"/>
      <c r="AL153" s="4" t="str">
        <f t="shared" si="46"/>
        <v/>
      </c>
      <c r="AM153" s="4" t="str">
        <f t="shared" si="47"/>
        <v/>
      </c>
    </row>
    <row r="154" spans="1:39" x14ac:dyDescent="0.3">
      <c r="A154" s="2">
        <v>46214</v>
      </c>
      <c r="B154" s="3" t="s">
        <v>38</v>
      </c>
      <c r="C154" s="3"/>
      <c r="D154" s="3"/>
      <c r="E154" s="3"/>
      <c r="F154" s="4"/>
      <c r="G154" s="4"/>
      <c r="H154" s="3"/>
      <c r="I154" s="4"/>
      <c r="J154" s="3"/>
      <c r="K154" s="4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 t="str">
        <f t="shared" si="40"/>
        <v>No</v>
      </c>
      <c r="AA154" s="5" t="str">
        <f t="shared" si="41"/>
        <v/>
      </c>
      <c r="AB154" s="6" t="str">
        <f>IF(AA154="","",AA154/Settings!$B$7)</f>
        <v/>
      </c>
      <c r="AC154" s="5" t="str">
        <f t="shared" si="42"/>
        <v/>
      </c>
      <c r="AD154" s="5" t="str">
        <f t="shared" si="43"/>
        <v/>
      </c>
      <c r="AE154" s="3" t="str">
        <f>IF(Z154="No","",IF(AND(AA154&gt;=Settings!$B$4, Y154="Yes"),"Green",IF(AA154&gt;=Settings!$B$5,"Yellow","Grey")))</f>
        <v/>
      </c>
      <c r="AF154" s="5">
        <f t="shared" si="48"/>
        <v>0</v>
      </c>
      <c r="AG154" s="5">
        <f t="shared" si="49"/>
        <v>0</v>
      </c>
      <c r="AH154" s="3" t="str">
        <f t="shared" si="44"/>
        <v/>
      </c>
      <c r="AI154" s="5" t="str">
        <f>IF(Z154="No","",MIN(100,ROUND((AA154/Settings!$B$7)*Settings!$B$10 + IF(Y154="Yes",Settings!$B$11,0) + IF(E154="",0,E154*Settings!$B$12),0)))</f>
        <v/>
      </c>
      <c r="AJ154" s="4" t="str">
        <f t="shared" si="45"/>
        <v/>
      </c>
      <c r="AK154" s="4"/>
      <c r="AL154" s="4" t="str">
        <f t="shared" si="46"/>
        <v/>
      </c>
      <c r="AM154" s="4" t="str">
        <f t="shared" si="47"/>
        <v/>
      </c>
    </row>
    <row r="155" spans="1:39" x14ac:dyDescent="0.3">
      <c r="A155" s="2">
        <v>46215</v>
      </c>
      <c r="B155" s="3" t="s">
        <v>38</v>
      </c>
      <c r="C155" s="3"/>
      <c r="D155" s="3"/>
      <c r="E155" s="3"/>
      <c r="F155" s="4"/>
      <c r="G155" s="4"/>
      <c r="H155" s="3"/>
      <c r="I155" s="4"/>
      <c r="J155" s="3"/>
      <c r="K155" s="4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 t="str">
        <f t="shared" si="40"/>
        <v>No</v>
      </c>
      <c r="AA155" s="5" t="str">
        <f t="shared" si="41"/>
        <v/>
      </c>
      <c r="AB155" s="6" t="str">
        <f>IF(AA155="","",AA155/Settings!$B$7)</f>
        <v/>
      </c>
      <c r="AC155" s="5" t="str">
        <f t="shared" si="42"/>
        <v/>
      </c>
      <c r="AD155" s="5" t="str">
        <f t="shared" si="43"/>
        <v/>
      </c>
      <c r="AE155" s="3" t="str">
        <f>IF(Z155="No","",IF(AND(AA155&gt;=Settings!$B$4, Y155="Yes"),"Green",IF(AA155&gt;=Settings!$B$5,"Yellow","Grey")))</f>
        <v/>
      </c>
      <c r="AF155" s="5">
        <f t="shared" si="48"/>
        <v>0</v>
      </c>
      <c r="AG155" s="5">
        <f t="shared" si="49"/>
        <v>0</v>
      </c>
      <c r="AH155" s="3" t="str">
        <f t="shared" si="44"/>
        <v/>
      </c>
      <c r="AI155" s="5" t="str">
        <f>IF(Z155="No","",MIN(100,ROUND((AA155/Settings!$B$7)*Settings!$B$10 + IF(Y155="Yes",Settings!$B$11,0) + IF(E155="",0,E155*Settings!$B$12),0)))</f>
        <v/>
      </c>
      <c r="AJ155" s="4" t="str">
        <f t="shared" si="45"/>
        <v/>
      </c>
      <c r="AK155" s="4"/>
      <c r="AL155" s="4" t="str">
        <f t="shared" si="46"/>
        <v/>
      </c>
      <c r="AM155" s="4" t="str">
        <f t="shared" si="47"/>
        <v/>
      </c>
    </row>
    <row r="156" spans="1:39" x14ac:dyDescent="0.3">
      <c r="A156" s="2">
        <v>46216</v>
      </c>
      <c r="B156" s="3" t="s">
        <v>37</v>
      </c>
      <c r="C156" s="3"/>
      <c r="D156" s="3"/>
      <c r="E156" s="3"/>
      <c r="F156" s="4"/>
      <c r="G156" s="4"/>
      <c r="H156" s="3"/>
      <c r="I156" s="4"/>
      <c r="J156" s="3"/>
      <c r="K156" s="4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 t="str">
        <f t="shared" si="40"/>
        <v>No</v>
      </c>
      <c r="AA156" s="5" t="str">
        <f t="shared" si="41"/>
        <v/>
      </c>
      <c r="AB156" s="6" t="str">
        <f>IF(AA156="","",AA156/Settings!$B$7)</f>
        <v/>
      </c>
      <c r="AC156" s="5" t="str">
        <f t="shared" si="42"/>
        <v/>
      </c>
      <c r="AD156" s="5" t="str">
        <f t="shared" si="43"/>
        <v/>
      </c>
      <c r="AE156" s="3" t="str">
        <f>IF(Z156="No","",IF(AND(AA156&gt;=Settings!$B$4, Y156="Yes"),"Green",IF(AA156&gt;=Settings!$B$5,"Yellow","Grey")))</f>
        <v/>
      </c>
      <c r="AF156" s="5">
        <f t="shared" si="48"/>
        <v>0</v>
      </c>
      <c r="AG156" s="5">
        <f t="shared" si="49"/>
        <v>0</v>
      </c>
      <c r="AH156" s="3" t="str">
        <f t="shared" si="44"/>
        <v/>
      </c>
      <c r="AI156" s="5" t="str">
        <f>IF(Z156="No","",MIN(100,ROUND((AA156/Settings!$B$7)*Settings!$B$10 + IF(Y156="Yes",Settings!$B$11,0) + IF(E156="",0,E156*Settings!$B$12),0)))</f>
        <v/>
      </c>
      <c r="AJ156" s="4" t="str">
        <f t="shared" si="45"/>
        <v/>
      </c>
      <c r="AK156" s="4"/>
      <c r="AL156" s="4" t="str">
        <f t="shared" si="46"/>
        <v/>
      </c>
      <c r="AM156" s="4" t="str">
        <f t="shared" si="47"/>
        <v/>
      </c>
    </row>
    <row r="157" spans="1:39" x14ac:dyDescent="0.3">
      <c r="A157" s="2">
        <v>46217</v>
      </c>
      <c r="B157" s="3" t="s">
        <v>37</v>
      </c>
      <c r="C157" s="3"/>
      <c r="D157" s="3"/>
      <c r="E157" s="3"/>
      <c r="F157" s="4"/>
      <c r="G157" s="4"/>
      <c r="H157" s="3"/>
      <c r="I157" s="4"/>
      <c r="J157" s="3"/>
      <c r="K157" s="4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 t="str">
        <f t="shared" si="40"/>
        <v>No</v>
      </c>
      <c r="AA157" s="5" t="str">
        <f t="shared" si="41"/>
        <v/>
      </c>
      <c r="AB157" s="6" t="str">
        <f>IF(AA157="","",AA157/Settings!$B$7)</f>
        <v/>
      </c>
      <c r="AC157" s="5" t="str">
        <f t="shared" si="42"/>
        <v/>
      </c>
      <c r="AD157" s="5" t="str">
        <f t="shared" si="43"/>
        <v/>
      </c>
      <c r="AE157" s="3" t="str">
        <f>IF(Z157="No","",IF(AND(AA157&gt;=Settings!$B$4, Y157="Yes"),"Green",IF(AA157&gt;=Settings!$B$5,"Yellow","Grey")))</f>
        <v/>
      </c>
      <c r="AF157" s="5">
        <f t="shared" si="48"/>
        <v>0</v>
      </c>
      <c r="AG157" s="5">
        <f t="shared" si="49"/>
        <v>0</v>
      </c>
      <c r="AH157" s="3" t="str">
        <f t="shared" si="44"/>
        <v/>
      </c>
      <c r="AI157" s="5" t="str">
        <f>IF(Z157="No","",MIN(100,ROUND((AA157/Settings!$B$7)*Settings!$B$10 + IF(Y157="Yes",Settings!$B$11,0) + IF(E157="",0,E157*Settings!$B$12),0)))</f>
        <v/>
      </c>
      <c r="AJ157" s="4" t="str">
        <f t="shared" si="45"/>
        <v/>
      </c>
      <c r="AK157" s="4"/>
      <c r="AL157" s="4" t="str">
        <f t="shared" si="46"/>
        <v/>
      </c>
      <c r="AM157" s="4" t="str">
        <f t="shared" si="47"/>
        <v/>
      </c>
    </row>
    <row r="158" spans="1:39" x14ac:dyDescent="0.3">
      <c r="A158" s="2">
        <v>46218</v>
      </c>
      <c r="B158" s="3" t="s">
        <v>37</v>
      </c>
      <c r="C158" s="3"/>
      <c r="D158" s="3"/>
      <c r="E158" s="3"/>
      <c r="F158" s="4"/>
      <c r="G158" s="4"/>
      <c r="H158" s="3"/>
      <c r="I158" s="4"/>
      <c r="J158" s="3"/>
      <c r="K158" s="4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 t="str">
        <f t="shared" si="40"/>
        <v>No</v>
      </c>
      <c r="AA158" s="5" t="str">
        <f t="shared" si="41"/>
        <v/>
      </c>
      <c r="AB158" s="6" t="str">
        <f>IF(AA158="","",AA158/Settings!$B$7)</f>
        <v/>
      </c>
      <c r="AC158" s="5" t="str">
        <f t="shared" si="42"/>
        <v/>
      </c>
      <c r="AD158" s="5" t="str">
        <f t="shared" si="43"/>
        <v/>
      </c>
      <c r="AE158" s="3" t="str">
        <f>IF(Z158="No","",IF(AND(AA158&gt;=Settings!$B$4, Y158="Yes"),"Green",IF(AA158&gt;=Settings!$B$5,"Yellow","Grey")))</f>
        <v/>
      </c>
      <c r="AF158" s="5">
        <f t="shared" si="48"/>
        <v>0</v>
      </c>
      <c r="AG158" s="5">
        <f t="shared" si="49"/>
        <v>0</v>
      </c>
      <c r="AH158" s="3" t="str">
        <f t="shared" si="44"/>
        <v/>
      </c>
      <c r="AI158" s="5" t="str">
        <f>IF(Z158="No","",MIN(100,ROUND((AA158/Settings!$B$7)*Settings!$B$10 + IF(Y158="Yes",Settings!$B$11,0) + IF(E158="",0,E158*Settings!$B$12),0)))</f>
        <v/>
      </c>
      <c r="AJ158" s="4" t="str">
        <f t="shared" si="45"/>
        <v/>
      </c>
      <c r="AK158" s="4"/>
      <c r="AL158" s="4" t="str">
        <f t="shared" si="46"/>
        <v/>
      </c>
      <c r="AM158" s="4" t="str">
        <f t="shared" si="47"/>
        <v/>
      </c>
    </row>
    <row r="159" spans="1:39" x14ac:dyDescent="0.3">
      <c r="A159" s="2">
        <v>46219</v>
      </c>
      <c r="B159" s="3" t="s">
        <v>37</v>
      </c>
      <c r="C159" s="3"/>
      <c r="D159" s="3"/>
      <c r="E159" s="3"/>
      <c r="F159" s="4"/>
      <c r="G159" s="4"/>
      <c r="H159" s="3"/>
      <c r="I159" s="4"/>
      <c r="J159" s="3"/>
      <c r="K159" s="4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 t="str">
        <f t="shared" si="40"/>
        <v>No</v>
      </c>
      <c r="AA159" s="5" t="str">
        <f t="shared" si="41"/>
        <v/>
      </c>
      <c r="AB159" s="6" t="str">
        <f>IF(AA159="","",AA159/Settings!$B$7)</f>
        <v/>
      </c>
      <c r="AC159" s="5" t="str">
        <f t="shared" si="42"/>
        <v/>
      </c>
      <c r="AD159" s="5" t="str">
        <f t="shared" si="43"/>
        <v/>
      </c>
      <c r="AE159" s="3" t="str">
        <f>IF(Z159="No","",IF(AND(AA159&gt;=Settings!$B$4, Y159="Yes"),"Green",IF(AA159&gt;=Settings!$B$5,"Yellow","Grey")))</f>
        <v/>
      </c>
      <c r="AF159" s="5">
        <f t="shared" si="48"/>
        <v>0</v>
      </c>
      <c r="AG159" s="5">
        <f t="shared" si="49"/>
        <v>0</v>
      </c>
      <c r="AH159" s="3" t="str">
        <f t="shared" si="44"/>
        <v/>
      </c>
      <c r="AI159" s="5" t="str">
        <f>IF(Z159="No","",MIN(100,ROUND((AA159/Settings!$B$7)*Settings!$B$10 + IF(Y159="Yes",Settings!$B$11,0) + IF(E159="",0,E159*Settings!$B$12),0)))</f>
        <v/>
      </c>
      <c r="AJ159" s="4" t="str">
        <f t="shared" si="45"/>
        <v/>
      </c>
      <c r="AK159" s="4"/>
      <c r="AL159" s="4" t="str">
        <f t="shared" si="46"/>
        <v/>
      </c>
      <c r="AM159" s="4" t="str">
        <f t="shared" si="47"/>
        <v/>
      </c>
    </row>
    <row r="160" spans="1:39" x14ac:dyDescent="0.3">
      <c r="A160" s="2">
        <v>46220</v>
      </c>
      <c r="B160" s="3" t="s">
        <v>37</v>
      </c>
      <c r="C160" s="3"/>
      <c r="D160" s="3"/>
      <c r="E160" s="3"/>
      <c r="F160" s="4"/>
      <c r="G160" s="4"/>
      <c r="H160" s="3"/>
      <c r="I160" s="4"/>
      <c r="J160" s="3"/>
      <c r="K160" s="4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 t="str">
        <f t="shared" si="40"/>
        <v>No</v>
      </c>
      <c r="AA160" s="5" t="str">
        <f t="shared" si="41"/>
        <v/>
      </c>
      <c r="AB160" s="6" t="str">
        <f>IF(AA160="","",AA160/Settings!$B$7)</f>
        <v/>
      </c>
      <c r="AC160" s="5" t="str">
        <f t="shared" si="42"/>
        <v/>
      </c>
      <c r="AD160" s="5" t="str">
        <f t="shared" si="43"/>
        <v/>
      </c>
      <c r="AE160" s="3" t="str">
        <f>IF(Z160="No","",IF(AND(AA160&gt;=Settings!$B$4, Y160="Yes"),"Green",IF(AA160&gt;=Settings!$B$5,"Yellow","Grey")))</f>
        <v/>
      </c>
      <c r="AF160" s="5">
        <f t="shared" si="48"/>
        <v>0</v>
      </c>
      <c r="AG160" s="5">
        <f t="shared" si="49"/>
        <v>0</v>
      </c>
      <c r="AH160" s="3" t="str">
        <f t="shared" si="44"/>
        <v/>
      </c>
      <c r="AI160" s="5" t="str">
        <f>IF(Z160="No","",MIN(100,ROUND((AA160/Settings!$B$7)*Settings!$B$10 + IF(Y160="Yes",Settings!$B$11,0) + IF(E160="",0,E160*Settings!$B$12),0)))</f>
        <v/>
      </c>
      <c r="AJ160" s="4" t="str">
        <f t="shared" si="45"/>
        <v/>
      </c>
      <c r="AK160" s="4"/>
      <c r="AL160" s="4" t="str">
        <f t="shared" si="46"/>
        <v/>
      </c>
      <c r="AM160" s="4" t="str">
        <f t="shared" si="47"/>
        <v/>
      </c>
    </row>
    <row r="161" spans="1:39" x14ac:dyDescent="0.3">
      <c r="A161" s="2">
        <v>46221</v>
      </c>
      <c r="B161" s="3" t="s">
        <v>38</v>
      </c>
      <c r="C161" s="3"/>
      <c r="D161" s="3"/>
      <c r="E161" s="3"/>
      <c r="F161" s="4"/>
      <c r="G161" s="4"/>
      <c r="H161" s="3"/>
      <c r="I161" s="4"/>
      <c r="J161" s="3"/>
      <c r="K161" s="4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 t="str">
        <f t="shared" si="40"/>
        <v>No</v>
      </c>
      <c r="AA161" s="5" t="str">
        <f t="shared" si="41"/>
        <v/>
      </c>
      <c r="AB161" s="6" t="str">
        <f>IF(AA161="","",AA161/Settings!$B$7)</f>
        <v/>
      </c>
      <c r="AC161" s="5" t="str">
        <f t="shared" si="42"/>
        <v/>
      </c>
      <c r="AD161" s="5" t="str">
        <f t="shared" si="43"/>
        <v/>
      </c>
      <c r="AE161" s="3" t="str">
        <f>IF(Z161="No","",IF(AND(AA161&gt;=Settings!$B$4, Y161="Yes"),"Green",IF(AA161&gt;=Settings!$B$5,"Yellow","Grey")))</f>
        <v/>
      </c>
      <c r="AF161" s="5">
        <f t="shared" si="48"/>
        <v>0</v>
      </c>
      <c r="AG161" s="5">
        <f t="shared" si="49"/>
        <v>0</v>
      </c>
      <c r="AH161" s="3" t="str">
        <f t="shared" si="44"/>
        <v/>
      </c>
      <c r="AI161" s="5" t="str">
        <f>IF(Z161="No","",MIN(100,ROUND((AA161/Settings!$B$7)*Settings!$B$10 + IF(Y161="Yes",Settings!$B$11,0) + IF(E161="",0,E161*Settings!$B$12),0)))</f>
        <v/>
      </c>
      <c r="AJ161" s="4" t="str">
        <f t="shared" si="45"/>
        <v/>
      </c>
      <c r="AK161" s="4"/>
      <c r="AL161" s="4" t="str">
        <f t="shared" si="46"/>
        <v/>
      </c>
      <c r="AM161" s="4" t="str">
        <f t="shared" si="47"/>
        <v/>
      </c>
    </row>
    <row r="162" spans="1:39" x14ac:dyDescent="0.3">
      <c r="A162" s="2">
        <v>46222</v>
      </c>
      <c r="B162" s="3" t="s">
        <v>38</v>
      </c>
      <c r="C162" s="3"/>
      <c r="D162" s="3"/>
      <c r="E162" s="3"/>
      <c r="F162" s="4"/>
      <c r="G162" s="4"/>
      <c r="H162" s="3"/>
      <c r="I162" s="4"/>
      <c r="J162" s="3"/>
      <c r="K162" s="4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 t="str">
        <f t="shared" ref="Z162:Z188" si="50">IF(COUNTA(C162:Y162)&gt;0,"Yes","No")</f>
        <v>No</v>
      </c>
      <c r="AA162" s="5" t="str">
        <f t="shared" ref="AA162:AA188" si="51">IF(Z162="No","",COUNTIF(M162:X162,"✅"))</f>
        <v/>
      </c>
      <c r="AB162" s="6" t="str">
        <f>IF(AA162="","",AA162/Settings!$B$7)</f>
        <v/>
      </c>
      <c r="AC162" s="5" t="str">
        <f t="shared" ref="AC162:AC188" si="52">IF(Z162="No","",COUNTIF(H162,"✅")+COUNTIF(J162,"✅")+COUNTIF(L162,"✅"))</f>
        <v/>
      </c>
      <c r="AD162" s="5" t="str">
        <f t="shared" ref="AD162:AD188" si="53">IF(AA162="","",AA162+AC162)</f>
        <v/>
      </c>
      <c r="AE162" s="3" t="str">
        <f>IF(Z162="No","",IF(AND(AA162&gt;=Settings!$B$4, Y162="Yes"),"Green",IF(AA162&gt;=Settings!$B$5,"Yellow","Grey")))</f>
        <v/>
      </c>
      <c r="AF162" s="5">
        <f t="shared" si="48"/>
        <v>0</v>
      </c>
      <c r="AG162" s="5">
        <f t="shared" si="49"/>
        <v>0</v>
      </c>
      <c r="AH162" s="3" t="str">
        <f t="shared" ref="AH162:AH188" si="54">IF(AG162&gt;=2,"ALERT","")</f>
        <v/>
      </c>
      <c r="AI162" s="5" t="str">
        <f>IF(Z162="No","",MIN(100,ROUND((AA162/Settings!$B$7)*Settings!$B$10 + IF(Y162="Yes",Settings!$B$11,0) + IF(E162="",0,E162*Settings!$B$12),0)))</f>
        <v/>
      </c>
      <c r="AJ162" s="4" t="str">
        <f t="shared" ref="AJ162:AJ188" si="55">IF(Z162="No","",IF(M162="❌","Sleep; ","")&amp;IF(N162="❌","No Snooze; ","")&amp;IF(O162="❌","Water; ","")&amp;IF(P162="❌","Gratitude; ","")&amp;IF(Q162="❌","Meditation; ","")&amp;IF(R162="❌","Exercise; ","")&amp;IF(S162="❌","Plan Day; ","")&amp;IF(T162="❌","Deep Work; ","")&amp;IF(U162="❌","One-Tab; ","")&amp;IF(V162="❌","Writing; ","")&amp;IF(W162="❌","Reading; ","")&amp;IF(X162="❌","Tidy; ",""))</f>
        <v/>
      </c>
      <c r="AK162" s="4"/>
      <c r="AL162" s="4" t="str">
        <f t="shared" ref="AL162:AL188" si="56">IF(Z162="No","",IF(AND(G162&lt;&gt;"",H162&lt;&gt;"✅"),G162&amp;"; ","")&amp;IF(AND(I162&lt;&gt;"",J162&lt;&gt;"✅"),I162&amp;"; ","")&amp;IF(AND(K162&lt;&gt;"",L162&lt;&gt;"✅"),K162&amp;"; ",""))</f>
        <v/>
      </c>
      <c r="AM162" s="4" t="str">
        <f t="shared" ref="AM162:AM188" si="57">IF(Z162="No","",AJ162&amp;AL162)</f>
        <v/>
      </c>
    </row>
    <row r="163" spans="1:39" x14ac:dyDescent="0.3">
      <c r="A163" s="2">
        <v>46223</v>
      </c>
      <c r="B163" s="3" t="s">
        <v>37</v>
      </c>
      <c r="C163" s="3"/>
      <c r="D163" s="3"/>
      <c r="E163" s="3"/>
      <c r="F163" s="4"/>
      <c r="G163" s="4"/>
      <c r="H163" s="3"/>
      <c r="I163" s="4"/>
      <c r="J163" s="3"/>
      <c r="K163" s="4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 t="str">
        <f t="shared" si="50"/>
        <v>No</v>
      </c>
      <c r="AA163" s="5" t="str">
        <f t="shared" si="51"/>
        <v/>
      </c>
      <c r="AB163" s="6" t="str">
        <f>IF(AA163="","",AA163/Settings!$B$7)</f>
        <v/>
      </c>
      <c r="AC163" s="5" t="str">
        <f t="shared" si="52"/>
        <v/>
      </c>
      <c r="AD163" s="5" t="str">
        <f t="shared" si="53"/>
        <v/>
      </c>
      <c r="AE163" s="3" t="str">
        <f>IF(Z163="No","",IF(AND(AA163&gt;=Settings!$B$4, Y163="Yes"),"Green",IF(AA163&gt;=Settings!$B$5,"Yellow","Grey")))</f>
        <v/>
      </c>
      <c r="AF163" s="5">
        <f t="shared" ref="AF163:AF188" si="58">IF(AE163="Green",AF162+1,0)</f>
        <v>0</v>
      </c>
      <c r="AG163" s="5">
        <f t="shared" ref="AG163:AG188" si="59">IF(AE163="Grey",AG162+1,0)</f>
        <v>0</v>
      </c>
      <c r="AH163" s="3" t="str">
        <f t="shared" si="54"/>
        <v/>
      </c>
      <c r="AI163" s="5" t="str">
        <f>IF(Z163="No","",MIN(100,ROUND((AA163/Settings!$B$7)*Settings!$B$10 + IF(Y163="Yes",Settings!$B$11,0) + IF(E163="",0,E163*Settings!$B$12),0)))</f>
        <v/>
      </c>
      <c r="AJ163" s="4" t="str">
        <f t="shared" si="55"/>
        <v/>
      </c>
      <c r="AK163" s="4"/>
      <c r="AL163" s="4" t="str">
        <f t="shared" si="56"/>
        <v/>
      </c>
      <c r="AM163" s="4" t="str">
        <f t="shared" si="57"/>
        <v/>
      </c>
    </row>
    <row r="164" spans="1:39" x14ac:dyDescent="0.3">
      <c r="A164" s="2">
        <v>46224</v>
      </c>
      <c r="B164" s="3" t="s">
        <v>37</v>
      </c>
      <c r="C164" s="3"/>
      <c r="D164" s="3"/>
      <c r="E164" s="3"/>
      <c r="F164" s="4"/>
      <c r="G164" s="4"/>
      <c r="H164" s="3"/>
      <c r="I164" s="4"/>
      <c r="J164" s="3"/>
      <c r="K164" s="4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 t="str">
        <f t="shared" si="50"/>
        <v>No</v>
      </c>
      <c r="AA164" s="5" t="str">
        <f t="shared" si="51"/>
        <v/>
      </c>
      <c r="AB164" s="6" t="str">
        <f>IF(AA164="","",AA164/Settings!$B$7)</f>
        <v/>
      </c>
      <c r="AC164" s="5" t="str">
        <f t="shared" si="52"/>
        <v/>
      </c>
      <c r="AD164" s="5" t="str">
        <f t="shared" si="53"/>
        <v/>
      </c>
      <c r="AE164" s="3" t="str">
        <f>IF(Z164="No","",IF(AND(AA164&gt;=Settings!$B$4, Y164="Yes"),"Green",IF(AA164&gt;=Settings!$B$5,"Yellow","Grey")))</f>
        <v/>
      </c>
      <c r="AF164" s="5">
        <f t="shared" si="58"/>
        <v>0</v>
      </c>
      <c r="AG164" s="5">
        <f t="shared" si="59"/>
        <v>0</v>
      </c>
      <c r="AH164" s="3" t="str">
        <f t="shared" si="54"/>
        <v/>
      </c>
      <c r="AI164" s="5" t="str">
        <f>IF(Z164="No","",MIN(100,ROUND((AA164/Settings!$B$7)*Settings!$B$10 + IF(Y164="Yes",Settings!$B$11,0) + IF(E164="",0,E164*Settings!$B$12),0)))</f>
        <v/>
      </c>
      <c r="AJ164" s="4" t="str">
        <f t="shared" si="55"/>
        <v/>
      </c>
      <c r="AK164" s="4"/>
      <c r="AL164" s="4" t="str">
        <f t="shared" si="56"/>
        <v/>
      </c>
      <c r="AM164" s="4" t="str">
        <f t="shared" si="57"/>
        <v/>
      </c>
    </row>
    <row r="165" spans="1:39" x14ac:dyDescent="0.3">
      <c r="A165" s="2">
        <v>46225</v>
      </c>
      <c r="B165" s="3" t="s">
        <v>37</v>
      </c>
      <c r="C165" s="3"/>
      <c r="D165" s="3"/>
      <c r="E165" s="3"/>
      <c r="F165" s="4"/>
      <c r="G165" s="4"/>
      <c r="H165" s="3"/>
      <c r="I165" s="4"/>
      <c r="J165" s="3"/>
      <c r="K165" s="4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 t="str">
        <f t="shared" si="50"/>
        <v>No</v>
      </c>
      <c r="AA165" s="5" t="str">
        <f t="shared" si="51"/>
        <v/>
      </c>
      <c r="AB165" s="6" t="str">
        <f>IF(AA165="","",AA165/Settings!$B$7)</f>
        <v/>
      </c>
      <c r="AC165" s="5" t="str">
        <f t="shared" si="52"/>
        <v/>
      </c>
      <c r="AD165" s="5" t="str">
        <f t="shared" si="53"/>
        <v/>
      </c>
      <c r="AE165" s="3" t="str">
        <f>IF(Z165="No","",IF(AND(AA165&gt;=Settings!$B$4, Y165="Yes"),"Green",IF(AA165&gt;=Settings!$B$5,"Yellow","Grey")))</f>
        <v/>
      </c>
      <c r="AF165" s="5">
        <f t="shared" si="58"/>
        <v>0</v>
      </c>
      <c r="AG165" s="5">
        <f t="shared" si="59"/>
        <v>0</v>
      </c>
      <c r="AH165" s="3" t="str">
        <f t="shared" si="54"/>
        <v/>
      </c>
      <c r="AI165" s="5" t="str">
        <f>IF(Z165="No","",MIN(100,ROUND((AA165/Settings!$B$7)*Settings!$B$10 + IF(Y165="Yes",Settings!$B$11,0) + IF(E165="",0,E165*Settings!$B$12),0)))</f>
        <v/>
      </c>
      <c r="AJ165" s="4" t="str">
        <f t="shared" si="55"/>
        <v/>
      </c>
      <c r="AK165" s="4"/>
      <c r="AL165" s="4" t="str">
        <f t="shared" si="56"/>
        <v/>
      </c>
      <c r="AM165" s="4" t="str">
        <f t="shared" si="57"/>
        <v/>
      </c>
    </row>
    <row r="166" spans="1:39" x14ac:dyDescent="0.3">
      <c r="A166" s="2">
        <v>46226</v>
      </c>
      <c r="B166" s="3" t="s">
        <v>37</v>
      </c>
      <c r="C166" s="3"/>
      <c r="D166" s="3"/>
      <c r="E166" s="3"/>
      <c r="F166" s="4"/>
      <c r="G166" s="4"/>
      <c r="H166" s="3"/>
      <c r="I166" s="4"/>
      <c r="J166" s="3"/>
      <c r="K166" s="4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 t="str">
        <f t="shared" si="50"/>
        <v>No</v>
      </c>
      <c r="AA166" s="5" t="str">
        <f t="shared" si="51"/>
        <v/>
      </c>
      <c r="AB166" s="6" t="str">
        <f>IF(AA166="","",AA166/Settings!$B$7)</f>
        <v/>
      </c>
      <c r="AC166" s="5" t="str">
        <f t="shared" si="52"/>
        <v/>
      </c>
      <c r="AD166" s="5" t="str">
        <f t="shared" si="53"/>
        <v/>
      </c>
      <c r="AE166" s="3" t="str">
        <f>IF(Z166="No","",IF(AND(AA166&gt;=Settings!$B$4, Y166="Yes"),"Green",IF(AA166&gt;=Settings!$B$5,"Yellow","Grey")))</f>
        <v/>
      </c>
      <c r="AF166" s="5">
        <f t="shared" si="58"/>
        <v>0</v>
      </c>
      <c r="AG166" s="5">
        <f t="shared" si="59"/>
        <v>0</v>
      </c>
      <c r="AH166" s="3" t="str">
        <f t="shared" si="54"/>
        <v/>
      </c>
      <c r="AI166" s="5" t="str">
        <f>IF(Z166="No","",MIN(100,ROUND((AA166/Settings!$B$7)*Settings!$B$10 + IF(Y166="Yes",Settings!$B$11,0) + IF(E166="",0,E166*Settings!$B$12),0)))</f>
        <v/>
      </c>
      <c r="AJ166" s="4" t="str">
        <f t="shared" si="55"/>
        <v/>
      </c>
      <c r="AK166" s="4"/>
      <c r="AL166" s="4" t="str">
        <f t="shared" si="56"/>
        <v/>
      </c>
      <c r="AM166" s="4" t="str">
        <f t="shared" si="57"/>
        <v/>
      </c>
    </row>
    <row r="167" spans="1:39" x14ac:dyDescent="0.3">
      <c r="A167" s="2">
        <v>46227</v>
      </c>
      <c r="B167" s="3" t="s">
        <v>37</v>
      </c>
      <c r="C167" s="3"/>
      <c r="D167" s="3"/>
      <c r="E167" s="3"/>
      <c r="F167" s="4"/>
      <c r="G167" s="4"/>
      <c r="H167" s="3"/>
      <c r="I167" s="4"/>
      <c r="J167" s="3"/>
      <c r="K167" s="4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 t="str">
        <f t="shared" si="50"/>
        <v>No</v>
      </c>
      <c r="AA167" s="5" t="str">
        <f t="shared" si="51"/>
        <v/>
      </c>
      <c r="AB167" s="6" t="str">
        <f>IF(AA167="","",AA167/Settings!$B$7)</f>
        <v/>
      </c>
      <c r="AC167" s="5" t="str">
        <f t="shared" si="52"/>
        <v/>
      </c>
      <c r="AD167" s="5" t="str">
        <f t="shared" si="53"/>
        <v/>
      </c>
      <c r="AE167" s="3" t="str">
        <f>IF(Z167="No","",IF(AND(AA167&gt;=Settings!$B$4, Y167="Yes"),"Green",IF(AA167&gt;=Settings!$B$5,"Yellow","Grey")))</f>
        <v/>
      </c>
      <c r="AF167" s="5">
        <f t="shared" si="58"/>
        <v>0</v>
      </c>
      <c r="AG167" s="5">
        <f t="shared" si="59"/>
        <v>0</v>
      </c>
      <c r="AH167" s="3" t="str">
        <f t="shared" si="54"/>
        <v/>
      </c>
      <c r="AI167" s="5" t="str">
        <f>IF(Z167="No","",MIN(100,ROUND((AA167/Settings!$B$7)*Settings!$B$10 + IF(Y167="Yes",Settings!$B$11,0) + IF(E167="",0,E167*Settings!$B$12),0)))</f>
        <v/>
      </c>
      <c r="AJ167" s="4" t="str">
        <f t="shared" si="55"/>
        <v/>
      </c>
      <c r="AK167" s="4"/>
      <c r="AL167" s="4" t="str">
        <f t="shared" si="56"/>
        <v/>
      </c>
      <c r="AM167" s="4" t="str">
        <f t="shared" si="57"/>
        <v/>
      </c>
    </row>
    <row r="168" spans="1:39" x14ac:dyDescent="0.3">
      <c r="A168" s="2">
        <v>46228</v>
      </c>
      <c r="B168" s="3" t="s">
        <v>38</v>
      </c>
      <c r="C168" s="3"/>
      <c r="D168" s="3"/>
      <c r="E168" s="3"/>
      <c r="F168" s="4"/>
      <c r="G168" s="4"/>
      <c r="H168" s="3"/>
      <c r="I168" s="4"/>
      <c r="J168" s="3"/>
      <c r="K168" s="4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 t="str">
        <f t="shared" si="50"/>
        <v>No</v>
      </c>
      <c r="AA168" s="5" t="str">
        <f t="shared" si="51"/>
        <v/>
      </c>
      <c r="AB168" s="6" t="str">
        <f>IF(AA168="","",AA168/Settings!$B$7)</f>
        <v/>
      </c>
      <c r="AC168" s="5" t="str">
        <f t="shared" si="52"/>
        <v/>
      </c>
      <c r="AD168" s="5" t="str">
        <f t="shared" si="53"/>
        <v/>
      </c>
      <c r="AE168" s="3" t="str">
        <f>IF(Z168="No","",IF(AND(AA168&gt;=Settings!$B$4, Y168="Yes"),"Green",IF(AA168&gt;=Settings!$B$5,"Yellow","Grey")))</f>
        <v/>
      </c>
      <c r="AF168" s="5">
        <f t="shared" si="58"/>
        <v>0</v>
      </c>
      <c r="AG168" s="5">
        <f t="shared" si="59"/>
        <v>0</v>
      </c>
      <c r="AH168" s="3" t="str">
        <f t="shared" si="54"/>
        <v/>
      </c>
      <c r="AI168" s="5" t="str">
        <f>IF(Z168="No","",MIN(100,ROUND((AA168/Settings!$B$7)*Settings!$B$10 + IF(Y168="Yes",Settings!$B$11,0) + IF(E168="",0,E168*Settings!$B$12),0)))</f>
        <v/>
      </c>
      <c r="AJ168" s="4" t="str">
        <f t="shared" si="55"/>
        <v/>
      </c>
      <c r="AK168" s="4"/>
      <c r="AL168" s="4" t="str">
        <f t="shared" si="56"/>
        <v/>
      </c>
      <c r="AM168" s="4" t="str">
        <f t="shared" si="57"/>
        <v/>
      </c>
    </row>
    <row r="169" spans="1:39" x14ac:dyDescent="0.3">
      <c r="A169" s="2">
        <v>46229</v>
      </c>
      <c r="B169" s="3" t="s">
        <v>38</v>
      </c>
      <c r="C169" s="3"/>
      <c r="D169" s="3"/>
      <c r="E169" s="3"/>
      <c r="F169" s="4"/>
      <c r="G169" s="4"/>
      <c r="H169" s="3"/>
      <c r="I169" s="4"/>
      <c r="J169" s="3"/>
      <c r="K169" s="4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 t="str">
        <f t="shared" si="50"/>
        <v>No</v>
      </c>
      <c r="AA169" s="5" t="str">
        <f t="shared" si="51"/>
        <v/>
      </c>
      <c r="AB169" s="6" t="str">
        <f>IF(AA169="","",AA169/Settings!$B$7)</f>
        <v/>
      </c>
      <c r="AC169" s="5" t="str">
        <f t="shared" si="52"/>
        <v/>
      </c>
      <c r="AD169" s="5" t="str">
        <f t="shared" si="53"/>
        <v/>
      </c>
      <c r="AE169" s="3" t="str">
        <f>IF(Z169="No","",IF(AND(AA169&gt;=Settings!$B$4, Y169="Yes"),"Green",IF(AA169&gt;=Settings!$B$5,"Yellow","Grey")))</f>
        <v/>
      </c>
      <c r="AF169" s="5">
        <f t="shared" si="58"/>
        <v>0</v>
      </c>
      <c r="AG169" s="5">
        <f t="shared" si="59"/>
        <v>0</v>
      </c>
      <c r="AH169" s="3" t="str">
        <f t="shared" si="54"/>
        <v/>
      </c>
      <c r="AI169" s="5" t="str">
        <f>IF(Z169="No","",MIN(100,ROUND((AA169/Settings!$B$7)*Settings!$B$10 + IF(Y169="Yes",Settings!$B$11,0) + IF(E169="",0,E169*Settings!$B$12),0)))</f>
        <v/>
      </c>
      <c r="AJ169" s="4" t="str">
        <f t="shared" si="55"/>
        <v/>
      </c>
      <c r="AK169" s="4"/>
      <c r="AL169" s="4" t="str">
        <f t="shared" si="56"/>
        <v/>
      </c>
      <c r="AM169" s="4" t="str">
        <f t="shared" si="57"/>
        <v/>
      </c>
    </row>
    <row r="170" spans="1:39" x14ac:dyDescent="0.3">
      <c r="A170" s="2">
        <v>46230</v>
      </c>
      <c r="B170" s="3" t="s">
        <v>37</v>
      </c>
      <c r="C170" s="3"/>
      <c r="D170" s="3"/>
      <c r="E170" s="3"/>
      <c r="F170" s="4"/>
      <c r="G170" s="4"/>
      <c r="H170" s="3"/>
      <c r="I170" s="4"/>
      <c r="J170" s="3"/>
      <c r="K170" s="4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 t="str">
        <f t="shared" si="50"/>
        <v>No</v>
      </c>
      <c r="AA170" s="5" t="str">
        <f t="shared" si="51"/>
        <v/>
      </c>
      <c r="AB170" s="6" t="str">
        <f>IF(AA170="","",AA170/Settings!$B$7)</f>
        <v/>
      </c>
      <c r="AC170" s="5" t="str">
        <f t="shared" si="52"/>
        <v/>
      </c>
      <c r="AD170" s="5" t="str">
        <f t="shared" si="53"/>
        <v/>
      </c>
      <c r="AE170" s="3" t="str">
        <f>IF(Z170="No","",IF(AND(AA170&gt;=Settings!$B$4, Y170="Yes"),"Green",IF(AA170&gt;=Settings!$B$5,"Yellow","Grey")))</f>
        <v/>
      </c>
      <c r="AF170" s="5">
        <f t="shared" si="58"/>
        <v>0</v>
      </c>
      <c r="AG170" s="5">
        <f t="shared" si="59"/>
        <v>0</v>
      </c>
      <c r="AH170" s="3" t="str">
        <f t="shared" si="54"/>
        <v/>
      </c>
      <c r="AI170" s="5" t="str">
        <f>IF(Z170="No","",MIN(100,ROUND((AA170/Settings!$B$7)*Settings!$B$10 + IF(Y170="Yes",Settings!$B$11,0) + IF(E170="",0,E170*Settings!$B$12),0)))</f>
        <v/>
      </c>
      <c r="AJ170" s="4" t="str">
        <f t="shared" si="55"/>
        <v/>
      </c>
      <c r="AK170" s="4"/>
      <c r="AL170" s="4" t="str">
        <f t="shared" si="56"/>
        <v/>
      </c>
      <c r="AM170" s="4" t="str">
        <f t="shared" si="57"/>
        <v/>
      </c>
    </row>
    <row r="171" spans="1:39" x14ac:dyDescent="0.3">
      <c r="A171" s="2">
        <v>46231</v>
      </c>
      <c r="B171" s="3" t="s">
        <v>37</v>
      </c>
      <c r="C171" s="3"/>
      <c r="D171" s="3"/>
      <c r="E171" s="3"/>
      <c r="F171" s="4"/>
      <c r="G171" s="4"/>
      <c r="H171" s="3"/>
      <c r="I171" s="4"/>
      <c r="J171" s="3"/>
      <c r="K171" s="4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 t="str">
        <f t="shared" si="50"/>
        <v>No</v>
      </c>
      <c r="AA171" s="5" t="str">
        <f t="shared" si="51"/>
        <v/>
      </c>
      <c r="AB171" s="6" t="str">
        <f>IF(AA171="","",AA171/Settings!$B$7)</f>
        <v/>
      </c>
      <c r="AC171" s="5" t="str">
        <f t="shared" si="52"/>
        <v/>
      </c>
      <c r="AD171" s="5" t="str">
        <f t="shared" si="53"/>
        <v/>
      </c>
      <c r="AE171" s="3" t="str">
        <f>IF(Z171="No","",IF(AND(AA171&gt;=Settings!$B$4, Y171="Yes"),"Green",IF(AA171&gt;=Settings!$B$5,"Yellow","Grey")))</f>
        <v/>
      </c>
      <c r="AF171" s="5">
        <f t="shared" si="58"/>
        <v>0</v>
      </c>
      <c r="AG171" s="5">
        <f t="shared" si="59"/>
        <v>0</v>
      </c>
      <c r="AH171" s="3" t="str">
        <f t="shared" si="54"/>
        <v/>
      </c>
      <c r="AI171" s="5" t="str">
        <f>IF(Z171="No","",MIN(100,ROUND((AA171/Settings!$B$7)*Settings!$B$10 + IF(Y171="Yes",Settings!$B$11,0) + IF(E171="",0,E171*Settings!$B$12),0)))</f>
        <v/>
      </c>
      <c r="AJ171" s="4" t="str">
        <f t="shared" si="55"/>
        <v/>
      </c>
      <c r="AK171" s="4"/>
      <c r="AL171" s="4" t="str">
        <f t="shared" si="56"/>
        <v/>
      </c>
      <c r="AM171" s="4" t="str">
        <f t="shared" si="57"/>
        <v/>
      </c>
    </row>
    <row r="172" spans="1:39" x14ac:dyDescent="0.3">
      <c r="A172" s="2">
        <v>46232</v>
      </c>
      <c r="B172" s="3" t="s">
        <v>37</v>
      </c>
      <c r="C172" s="3"/>
      <c r="D172" s="3"/>
      <c r="E172" s="3"/>
      <c r="F172" s="4"/>
      <c r="G172" s="4"/>
      <c r="H172" s="3"/>
      <c r="I172" s="4"/>
      <c r="J172" s="3"/>
      <c r="K172" s="4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 t="str">
        <f t="shared" si="50"/>
        <v>No</v>
      </c>
      <c r="AA172" s="5" t="str">
        <f t="shared" si="51"/>
        <v/>
      </c>
      <c r="AB172" s="6" t="str">
        <f>IF(AA172="","",AA172/Settings!$B$7)</f>
        <v/>
      </c>
      <c r="AC172" s="5" t="str">
        <f t="shared" si="52"/>
        <v/>
      </c>
      <c r="AD172" s="5" t="str">
        <f t="shared" si="53"/>
        <v/>
      </c>
      <c r="AE172" s="3" t="str">
        <f>IF(Z172="No","",IF(AND(AA172&gt;=Settings!$B$4, Y172="Yes"),"Green",IF(AA172&gt;=Settings!$B$5,"Yellow","Grey")))</f>
        <v/>
      </c>
      <c r="AF172" s="5">
        <f t="shared" si="58"/>
        <v>0</v>
      </c>
      <c r="AG172" s="5">
        <f t="shared" si="59"/>
        <v>0</v>
      </c>
      <c r="AH172" s="3" t="str">
        <f t="shared" si="54"/>
        <v/>
      </c>
      <c r="AI172" s="5" t="str">
        <f>IF(Z172="No","",MIN(100,ROUND((AA172/Settings!$B$7)*Settings!$B$10 + IF(Y172="Yes",Settings!$B$11,0) + IF(E172="",0,E172*Settings!$B$12),0)))</f>
        <v/>
      </c>
      <c r="AJ172" s="4" t="str">
        <f t="shared" si="55"/>
        <v/>
      </c>
      <c r="AK172" s="4"/>
      <c r="AL172" s="4" t="str">
        <f t="shared" si="56"/>
        <v/>
      </c>
      <c r="AM172" s="4" t="str">
        <f t="shared" si="57"/>
        <v/>
      </c>
    </row>
    <row r="173" spans="1:39" x14ac:dyDescent="0.3">
      <c r="A173" s="2">
        <v>46233</v>
      </c>
      <c r="B173" s="3" t="s">
        <v>37</v>
      </c>
      <c r="C173" s="3"/>
      <c r="D173" s="3"/>
      <c r="E173" s="3"/>
      <c r="F173" s="4"/>
      <c r="G173" s="4"/>
      <c r="H173" s="3"/>
      <c r="I173" s="4"/>
      <c r="J173" s="3"/>
      <c r="K173" s="4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 t="str">
        <f t="shared" si="50"/>
        <v>No</v>
      </c>
      <c r="AA173" s="5" t="str">
        <f t="shared" si="51"/>
        <v/>
      </c>
      <c r="AB173" s="6" t="str">
        <f>IF(AA173="","",AA173/Settings!$B$7)</f>
        <v/>
      </c>
      <c r="AC173" s="5" t="str">
        <f t="shared" si="52"/>
        <v/>
      </c>
      <c r="AD173" s="5" t="str">
        <f t="shared" si="53"/>
        <v/>
      </c>
      <c r="AE173" s="3" t="str">
        <f>IF(Z173="No","",IF(AND(AA173&gt;=Settings!$B$4, Y173="Yes"),"Green",IF(AA173&gt;=Settings!$B$5,"Yellow","Grey")))</f>
        <v/>
      </c>
      <c r="AF173" s="5">
        <f t="shared" si="58"/>
        <v>0</v>
      </c>
      <c r="AG173" s="5">
        <f t="shared" si="59"/>
        <v>0</v>
      </c>
      <c r="AH173" s="3" t="str">
        <f t="shared" si="54"/>
        <v/>
      </c>
      <c r="AI173" s="5" t="str">
        <f>IF(Z173="No","",MIN(100,ROUND((AA173/Settings!$B$7)*Settings!$B$10 + IF(Y173="Yes",Settings!$B$11,0) + IF(E173="",0,E173*Settings!$B$12),0)))</f>
        <v/>
      </c>
      <c r="AJ173" s="4" t="str">
        <f t="shared" si="55"/>
        <v/>
      </c>
      <c r="AK173" s="4"/>
      <c r="AL173" s="4" t="str">
        <f t="shared" si="56"/>
        <v/>
      </c>
      <c r="AM173" s="4" t="str">
        <f t="shared" si="57"/>
        <v/>
      </c>
    </row>
    <row r="174" spans="1:39" x14ac:dyDescent="0.3">
      <c r="A174" s="2">
        <v>46234</v>
      </c>
      <c r="B174" s="3" t="s">
        <v>37</v>
      </c>
      <c r="C174" s="3"/>
      <c r="D174" s="3"/>
      <c r="E174" s="3"/>
      <c r="F174" s="4"/>
      <c r="G174" s="4"/>
      <c r="H174" s="3"/>
      <c r="I174" s="4"/>
      <c r="J174" s="3"/>
      <c r="K174" s="4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 t="str">
        <f t="shared" si="50"/>
        <v>No</v>
      </c>
      <c r="AA174" s="5" t="str">
        <f t="shared" si="51"/>
        <v/>
      </c>
      <c r="AB174" s="6" t="str">
        <f>IF(AA174="","",AA174/Settings!$B$7)</f>
        <v/>
      </c>
      <c r="AC174" s="5" t="str">
        <f t="shared" si="52"/>
        <v/>
      </c>
      <c r="AD174" s="5" t="str">
        <f t="shared" si="53"/>
        <v/>
      </c>
      <c r="AE174" s="3" t="str">
        <f>IF(Z174="No","",IF(AND(AA174&gt;=Settings!$B$4, Y174="Yes"),"Green",IF(AA174&gt;=Settings!$B$5,"Yellow","Grey")))</f>
        <v/>
      </c>
      <c r="AF174" s="5">
        <f t="shared" si="58"/>
        <v>0</v>
      </c>
      <c r="AG174" s="5">
        <f t="shared" si="59"/>
        <v>0</v>
      </c>
      <c r="AH174" s="3" t="str">
        <f t="shared" si="54"/>
        <v/>
      </c>
      <c r="AI174" s="5" t="str">
        <f>IF(Z174="No","",MIN(100,ROUND((AA174/Settings!$B$7)*Settings!$B$10 + IF(Y174="Yes",Settings!$B$11,0) + IF(E174="",0,E174*Settings!$B$12),0)))</f>
        <v/>
      </c>
      <c r="AJ174" s="4" t="str">
        <f t="shared" si="55"/>
        <v/>
      </c>
      <c r="AK174" s="4"/>
      <c r="AL174" s="4" t="str">
        <f t="shared" si="56"/>
        <v/>
      </c>
      <c r="AM174" s="4" t="str">
        <f t="shared" si="57"/>
        <v/>
      </c>
    </row>
    <row r="175" spans="1:39" x14ac:dyDescent="0.3">
      <c r="A175" s="2">
        <v>46235</v>
      </c>
      <c r="B175" s="3" t="s">
        <v>38</v>
      </c>
      <c r="C175" s="3"/>
      <c r="D175" s="3"/>
      <c r="E175" s="3"/>
      <c r="F175" s="4"/>
      <c r="G175" s="4"/>
      <c r="H175" s="3"/>
      <c r="I175" s="4"/>
      <c r="J175" s="3"/>
      <c r="K175" s="4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 t="str">
        <f t="shared" si="50"/>
        <v>No</v>
      </c>
      <c r="AA175" s="5" t="str">
        <f t="shared" si="51"/>
        <v/>
      </c>
      <c r="AB175" s="6" t="str">
        <f>IF(AA175="","",AA175/Settings!$B$7)</f>
        <v/>
      </c>
      <c r="AC175" s="5" t="str">
        <f t="shared" si="52"/>
        <v/>
      </c>
      <c r="AD175" s="5" t="str">
        <f t="shared" si="53"/>
        <v/>
      </c>
      <c r="AE175" s="3" t="str">
        <f>IF(Z175="No","",IF(AND(AA175&gt;=Settings!$B$4, Y175="Yes"),"Green",IF(AA175&gt;=Settings!$B$5,"Yellow","Grey")))</f>
        <v/>
      </c>
      <c r="AF175" s="5">
        <f t="shared" si="58"/>
        <v>0</v>
      </c>
      <c r="AG175" s="5">
        <f t="shared" si="59"/>
        <v>0</v>
      </c>
      <c r="AH175" s="3" t="str">
        <f t="shared" si="54"/>
        <v/>
      </c>
      <c r="AI175" s="5" t="str">
        <f>IF(Z175="No","",MIN(100,ROUND((AA175/Settings!$B$7)*Settings!$B$10 + IF(Y175="Yes",Settings!$B$11,0) + IF(E175="",0,E175*Settings!$B$12),0)))</f>
        <v/>
      </c>
      <c r="AJ175" s="4" t="str">
        <f t="shared" si="55"/>
        <v/>
      </c>
      <c r="AK175" s="4"/>
      <c r="AL175" s="4" t="str">
        <f t="shared" si="56"/>
        <v/>
      </c>
      <c r="AM175" s="4" t="str">
        <f t="shared" si="57"/>
        <v/>
      </c>
    </row>
    <row r="176" spans="1:39" x14ac:dyDescent="0.3">
      <c r="A176" s="2">
        <v>46236</v>
      </c>
      <c r="B176" s="3" t="s">
        <v>38</v>
      </c>
      <c r="C176" s="3"/>
      <c r="D176" s="3"/>
      <c r="E176" s="3"/>
      <c r="F176" s="4"/>
      <c r="G176" s="4"/>
      <c r="H176" s="3"/>
      <c r="I176" s="4"/>
      <c r="J176" s="3"/>
      <c r="K176" s="4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 t="str">
        <f t="shared" si="50"/>
        <v>No</v>
      </c>
      <c r="AA176" s="5" t="str">
        <f t="shared" si="51"/>
        <v/>
      </c>
      <c r="AB176" s="6" t="str">
        <f>IF(AA176="","",AA176/Settings!$B$7)</f>
        <v/>
      </c>
      <c r="AC176" s="5" t="str">
        <f t="shared" si="52"/>
        <v/>
      </c>
      <c r="AD176" s="5" t="str">
        <f t="shared" si="53"/>
        <v/>
      </c>
      <c r="AE176" s="3" t="str">
        <f>IF(Z176="No","",IF(AND(AA176&gt;=Settings!$B$4, Y176="Yes"),"Green",IF(AA176&gt;=Settings!$B$5,"Yellow","Grey")))</f>
        <v/>
      </c>
      <c r="AF176" s="5">
        <f t="shared" si="58"/>
        <v>0</v>
      </c>
      <c r="AG176" s="5">
        <f t="shared" si="59"/>
        <v>0</v>
      </c>
      <c r="AH176" s="3" t="str">
        <f t="shared" si="54"/>
        <v/>
      </c>
      <c r="AI176" s="5" t="str">
        <f>IF(Z176="No","",MIN(100,ROUND((AA176/Settings!$B$7)*Settings!$B$10 + IF(Y176="Yes",Settings!$B$11,0) + IF(E176="",0,E176*Settings!$B$12),0)))</f>
        <v/>
      </c>
      <c r="AJ176" s="4" t="str">
        <f t="shared" si="55"/>
        <v/>
      </c>
      <c r="AK176" s="4"/>
      <c r="AL176" s="4" t="str">
        <f t="shared" si="56"/>
        <v/>
      </c>
      <c r="AM176" s="4" t="str">
        <f t="shared" si="57"/>
        <v/>
      </c>
    </row>
    <row r="177" spans="1:39" x14ac:dyDescent="0.3">
      <c r="A177" s="2">
        <v>46237</v>
      </c>
      <c r="B177" s="3" t="s">
        <v>37</v>
      </c>
      <c r="C177" s="3"/>
      <c r="D177" s="3"/>
      <c r="E177" s="3"/>
      <c r="F177" s="4"/>
      <c r="G177" s="4"/>
      <c r="H177" s="3"/>
      <c r="I177" s="4"/>
      <c r="J177" s="3"/>
      <c r="K177" s="4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 t="str">
        <f t="shared" si="50"/>
        <v>No</v>
      </c>
      <c r="AA177" s="5" t="str">
        <f t="shared" si="51"/>
        <v/>
      </c>
      <c r="AB177" s="6" t="str">
        <f>IF(AA177="","",AA177/Settings!$B$7)</f>
        <v/>
      </c>
      <c r="AC177" s="5" t="str">
        <f t="shared" si="52"/>
        <v/>
      </c>
      <c r="AD177" s="5" t="str">
        <f t="shared" si="53"/>
        <v/>
      </c>
      <c r="AE177" s="3" t="str">
        <f>IF(Z177="No","",IF(AND(AA177&gt;=Settings!$B$4, Y177="Yes"),"Green",IF(AA177&gt;=Settings!$B$5,"Yellow","Grey")))</f>
        <v/>
      </c>
      <c r="AF177" s="5">
        <f t="shared" si="58"/>
        <v>0</v>
      </c>
      <c r="AG177" s="5">
        <f t="shared" si="59"/>
        <v>0</v>
      </c>
      <c r="AH177" s="3" t="str">
        <f t="shared" si="54"/>
        <v/>
      </c>
      <c r="AI177" s="5" t="str">
        <f>IF(Z177="No","",MIN(100,ROUND((AA177/Settings!$B$7)*Settings!$B$10 + IF(Y177="Yes",Settings!$B$11,0) + IF(E177="",0,E177*Settings!$B$12),0)))</f>
        <v/>
      </c>
      <c r="AJ177" s="4" t="str">
        <f t="shared" si="55"/>
        <v/>
      </c>
      <c r="AK177" s="4"/>
      <c r="AL177" s="4" t="str">
        <f t="shared" si="56"/>
        <v/>
      </c>
      <c r="AM177" s="4" t="str">
        <f t="shared" si="57"/>
        <v/>
      </c>
    </row>
    <row r="178" spans="1:39" x14ac:dyDescent="0.3">
      <c r="A178" s="2">
        <v>46238</v>
      </c>
      <c r="B178" s="3" t="s">
        <v>37</v>
      </c>
      <c r="C178" s="3"/>
      <c r="D178" s="3"/>
      <c r="E178" s="3"/>
      <c r="F178" s="4"/>
      <c r="G178" s="4"/>
      <c r="H178" s="3"/>
      <c r="I178" s="4"/>
      <c r="J178" s="3"/>
      <c r="K178" s="4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 t="str">
        <f t="shared" si="50"/>
        <v>No</v>
      </c>
      <c r="AA178" s="5" t="str">
        <f t="shared" si="51"/>
        <v/>
      </c>
      <c r="AB178" s="6" t="str">
        <f>IF(AA178="","",AA178/Settings!$B$7)</f>
        <v/>
      </c>
      <c r="AC178" s="5" t="str">
        <f t="shared" si="52"/>
        <v/>
      </c>
      <c r="AD178" s="5" t="str">
        <f t="shared" si="53"/>
        <v/>
      </c>
      <c r="AE178" s="3" t="str">
        <f>IF(Z178="No","",IF(AND(AA178&gt;=Settings!$B$4, Y178="Yes"),"Green",IF(AA178&gt;=Settings!$B$5,"Yellow","Grey")))</f>
        <v/>
      </c>
      <c r="AF178" s="5">
        <f t="shared" si="58"/>
        <v>0</v>
      </c>
      <c r="AG178" s="5">
        <f t="shared" si="59"/>
        <v>0</v>
      </c>
      <c r="AH178" s="3" t="str">
        <f t="shared" si="54"/>
        <v/>
      </c>
      <c r="AI178" s="5" t="str">
        <f>IF(Z178="No","",MIN(100,ROUND((AA178/Settings!$B$7)*Settings!$B$10 + IF(Y178="Yes",Settings!$B$11,0) + IF(E178="",0,E178*Settings!$B$12),0)))</f>
        <v/>
      </c>
      <c r="AJ178" s="4" t="str">
        <f t="shared" si="55"/>
        <v/>
      </c>
      <c r="AK178" s="4"/>
      <c r="AL178" s="4" t="str">
        <f t="shared" si="56"/>
        <v/>
      </c>
      <c r="AM178" s="4" t="str">
        <f t="shared" si="57"/>
        <v/>
      </c>
    </row>
    <row r="179" spans="1:39" x14ac:dyDescent="0.3">
      <c r="A179" s="2">
        <v>46239</v>
      </c>
      <c r="B179" s="3" t="s">
        <v>37</v>
      </c>
      <c r="C179" s="3"/>
      <c r="D179" s="3"/>
      <c r="E179" s="3"/>
      <c r="F179" s="4"/>
      <c r="G179" s="4"/>
      <c r="H179" s="3"/>
      <c r="I179" s="4"/>
      <c r="J179" s="3"/>
      <c r="K179" s="4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 t="str">
        <f t="shared" si="50"/>
        <v>No</v>
      </c>
      <c r="AA179" s="5" t="str">
        <f t="shared" si="51"/>
        <v/>
      </c>
      <c r="AB179" s="6" t="str">
        <f>IF(AA179="","",AA179/Settings!$B$7)</f>
        <v/>
      </c>
      <c r="AC179" s="5" t="str">
        <f t="shared" si="52"/>
        <v/>
      </c>
      <c r="AD179" s="5" t="str">
        <f t="shared" si="53"/>
        <v/>
      </c>
      <c r="AE179" s="3" t="str">
        <f>IF(Z179="No","",IF(AND(AA179&gt;=Settings!$B$4, Y179="Yes"),"Green",IF(AA179&gt;=Settings!$B$5,"Yellow","Grey")))</f>
        <v/>
      </c>
      <c r="AF179" s="5">
        <f t="shared" si="58"/>
        <v>0</v>
      </c>
      <c r="AG179" s="5">
        <f t="shared" si="59"/>
        <v>0</v>
      </c>
      <c r="AH179" s="3" t="str">
        <f t="shared" si="54"/>
        <v/>
      </c>
      <c r="AI179" s="5" t="str">
        <f>IF(Z179="No","",MIN(100,ROUND((AA179/Settings!$B$7)*Settings!$B$10 + IF(Y179="Yes",Settings!$B$11,0) + IF(E179="",0,E179*Settings!$B$12),0)))</f>
        <v/>
      </c>
      <c r="AJ179" s="4" t="str">
        <f t="shared" si="55"/>
        <v/>
      </c>
      <c r="AK179" s="4"/>
      <c r="AL179" s="4" t="str">
        <f t="shared" si="56"/>
        <v/>
      </c>
      <c r="AM179" s="4" t="str">
        <f t="shared" si="57"/>
        <v/>
      </c>
    </row>
    <row r="180" spans="1:39" x14ac:dyDescent="0.3">
      <c r="A180" s="2">
        <v>46240</v>
      </c>
      <c r="B180" s="3" t="s">
        <v>37</v>
      </c>
      <c r="C180" s="3"/>
      <c r="D180" s="3"/>
      <c r="E180" s="3"/>
      <c r="F180" s="4"/>
      <c r="G180" s="4"/>
      <c r="H180" s="3"/>
      <c r="I180" s="4"/>
      <c r="J180" s="3"/>
      <c r="K180" s="4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 t="str">
        <f t="shared" si="50"/>
        <v>No</v>
      </c>
      <c r="AA180" s="5" t="str">
        <f t="shared" si="51"/>
        <v/>
      </c>
      <c r="AB180" s="6" t="str">
        <f>IF(AA180="","",AA180/Settings!$B$7)</f>
        <v/>
      </c>
      <c r="AC180" s="5" t="str">
        <f t="shared" si="52"/>
        <v/>
      </c>
      <c r="AD180" s="5" t="str">
        <f t="shared" si="53"/>
        <v/>
      </c>
      <c r="AE180" s="3" t="str">
        <f>IF(Z180="No","",IF(AND(AA180&gt;=Settings!$B$4, Y180="Yes"),"Green",IF(AA180&gt;=Settings!$B$5,"Yellow","Grey")))</f>
        <v/>
      </c>
      <c r="AF180" s="5">
        <f t="shared" si="58"/>
        <v>0</v>
      </c>
      <c r="AG180" s="5">
        <f t="shared" si="59"/>
        <v>0</v>
      </c>
      <c r="AH180" s="3" t="str">
        <f t="shared" si="54"/>
        <v/>
      </c>
      <c r="AI180" s="5" t="str">
        <f>IF(Z180="No","",MIN(100,ROUND((AA180/Settings!$B$7)*Settings!$B$10 + IF(Y180="Yes",Settings!$B$11,0) + IF(E180="",0,E180*Settings!$B$12),0)))</f>
        <v/>
      </c>
      <c r="AJ180" s="4" t="str">
        <f t="shared" si="55"/>
        <v/>
      </c>
      <c r="AK180" s="4"/>
      <c r="AL180" s="4" t="str">
        <f t="shared" si="56"/>
        <v/>
      </c>
      <c r="AM180" s="4" t="str">
        <f t="shared" si="57"/>
        <v/>
      </c>
    </row>
    <row r="181" spans="1:39" x14ac:dyDescent="0.3">
      <c r="A181" s="2">
        <v>46241</v>
      </c>
      <c r="B181" s="3" t="s">
        <v>37</v>
      </c>
      <c r="C181" s="3"/>
      <c r="D181" s="3"/>
      <c r="E181" s="3"/>
      <c r="F181" s="4"/>
      <c r="G181" s="4"/>
      <c r="H181" s="3"/>
      <c r="I181" s="4"/>
      <c r="J181" s="3"/>
      <c r="K181" s="4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 t="str">
        <f t="shared" si="50"/>
        <v>No</v>
      </c>
      <c r="AA181" s="5" t="str">
        <f t="shared" si="51"/>
        <v/>
      </c>
      <c r="AB181" s="6" t="str">
        <f>IF(AA181="","",AA181/Settings!$B$7)</f>
        <v/>
      </c>
      <c r="AC181" s="5" t="str">
        <f t="shared" si="52"/>
        <v/>
      </c>
      <c r="AD181" s="5" t="str">
        <f t="shared" si="53"/>
        <v/>
      </c>
      <c r="AE181" s="3" t="str">
        <f>IF(Z181="No","",IF(AND(AA181&gt;=Settings!$B$4, Y181="Yes"),"Green",IF(AA181&gt;=Settings!$B$5,"Yellow","Grey")))</f>
        <v/>
      </c>
      <c r="AF181" s="5">
        <f t="shared" si="58"/>
        <v>0</v>
      </c>
      <c r="AG181" s="5">
        <f t="shared" si="59"/>
        <v>0</v>
      </c>
      <c r="AH181" s="3" t="str">
        <f t="shared" si="54"/>
        <v/>
      </c>
      <c r="AI181" s="5" t="str">
        <f>IF(Z181="No","",MIN(100,ROUND((AA181/Settings!$B$7)*Settings!$B$10 + IF(Y181="Yes",Settings!$B$11,0) + IF(E181="",0,E181*Settings!$B$12),0)))</f>
        <v/>
      </c>
      <c r="AJ181" s="4" t="str">
        <f t="shared" si="55"/>
        <v/>
      </c>
      <c r="AK181" s="4"/>
      <c r="AL181" s="4" t="str">
        <f t="shared" si="56"/>
        <v/>
      </c>
      <c r="AM181" s="4" t="str">
        <f t="shared" si="57"/>
        <v/>
      </c>
    </row>
    <row r="182" spans="1:39" x14ac:dyDescent="0.3">
      <c r="A182" s="2">
        <v>46242</v>
      </c>
      <c r="B182" s="3" t="s">
        <v>38</v>
      </c>
      <c r="C182" s="3"/>
      <c r="D182" s="3"/>
      <c r="E182" s="3"/>
      <c r="F182" s="4"/>
      <c r="G182" s="4"/>
      <c r="H182" s="3"/>
      <c r="I182" s="4"/>
      <c r="J182" s="3"/>
      <c r="K182" s="4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 t="str">
        <f t="shared" si="50"/>
        <v>No</v>
      </c>
      <c r="AA182" s="5" t="str">
        <f t="shared" si="51"/>
        <v/>
      </c>
      <c r="AB182" s="6" t="str">
        <f>IF(AA182="","",AA182/Settings!$B$7)</f>
        <v/>
      </c>
      <c r="AC182" s="5" t="str">
        <f t="shared" si="52"/>
        <v/>
      </c>
      <c r="AD182" s="5" t="str">
        <f t="shared" si="53"/>
        <v/>
      </c>
      <c r="AE182" s="3" t="str">
        <f>IF(Z182="No","",IF(AND(AA182&gt;=Settings!$B$4, Y182="Yes"),"Green",IF(AA182&gt;=Settings!$B$5,"Yellow","Grey")))</f>
        <v/>
      </c>
      <c r="AF182" s="5">
        <f t="shared" si="58"/>
        <v>0</v>
      </c>
      <c r="AG182" s="5">
        <f t="shared" si="59"/>
        <v>0</v>
      </c>
      <c r="AH182" s="3" t="str">
        <f t="shared" si="54"/>
        <v/>
      </c>
      <c r="AI182" s="5" t="str">
        <f>IF(Z182="No","",MIN(100,ROUND((AA182/Settings!$B$7)*Settings!$B$10 + IF(Y182="Yes",Settings!$B$11,0) + IF(E182="",0,E182*Settings!$B$12),0)))</f>
        <v/>
      </c>
      <c r="AJ182" s="4" t="str">
        <f t="shared" si="55"/>
        <v/>
      </c>
      <c r="AK182" s="4"/>
      <c r="AL182" s="4" t="str">
        <f t="shared" si="56"/>
        <v/>
      </c>
      <c r="AM182" s="4" t="str">
        <f t="shared" si="57"/>
        <v/>
      </c>
    </row>
    <row r="183" spans="1:39" x14ac:dyDescent="0.3">
      <c r="A183" s="2">
        <v>46243</v>
      </c>
      <c r="B183" s="3" t="s">
        <v>38</v>
      </c>
      <c r="C183" s="3"/>
      <c r="D183" s="3"/>
      <c r="E183" s="3"/>
      <c r="F183" s="4"/>
      <c r="G183" s="4"/>
      <c r="H183" s="3"/>
      <c r="I183" s="4"/>
      <c r="J183" s="3"/>
      <c r="K183" s="4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 t="str">
        <f t="shared" si="50"/>
        <v>No</v>
      </c>
      <c r="AA183" s="5" t="str">
        <f t="shared" si="51"/>
        <v/>
      </c>
      <c r="AB183" s="6" t="str">
        <f>IF(AA183="","",AA183/Settings!$B$7)</f>
        <v/>
      </c>
      <c r="AC183" s="5" t="str">
        <f t="shared" si="52"/>
        <v/>
      </c>
      <c r="AD183" s="5" t="str">
        <f t="shared" si="53"/>
        <v/>
      </c>
      <c r="AE183" s="3" t="str">
        <f>IF(Z183="No","",IF(AND(AA183&gt;=Settings!$B$4, Y183="Yes"),"Green",IF(AA183&gt;=Settings!$B$5,"Yellow","Grey")))</f>
        <v/>
      </c>
      <c r="AF183" s="5">
        <f t="shared" si="58"/>
        <v>0</v>
      </c>
      <c r="AG183" s="5">
        <f t="shared" si="59"/>
        <v>0</v>
      </c>
      <c r="AH183" s="3" t="str">
        <f t="shared" si="54"/>
        <v/>
      </c>
      <c r="AI183" s="5" t="str">
        <f>IF(Z183="No","",MIN(100,ROUND((AA183/Settings!$B$7)*Settings!$B$10 + IF(Y183="Yes",Settings!$B$11,0) + IF(E183="",0,E183*Settings!$B$12),0)))</f>
        <v/>
      </c>
      <c r="AJ183" s="4" t="str">
        <f t="shared" si="55"/>
        <v/>
      </c>
      <c r="AK183" s="4"/>
      <c r="AL183" s="4" t="str">
        <f t="shared" si="56"/>
        <v/>
      </c>
      <c r="AM183" s="4" t="str">
        <f t="shared" si="57"/>
        <v/>
      </c>
    </row>
    <row r="184" spans="1:39" x14ac:dyDescent="0.3">
      <c r="A184" s="2">
        <v>46244</v>
      </c>
      <c r="B184" s="3" t="s">
        <v>37</v>
      </c>
      <c r="C184" s="3"/>
      <c r="D184" s="3"/>
      <c r="E184" s="3"/>
      <c r="F184" s="4"/>
      <c r="G184" s="4"/>
      <c r="H184" s="3"/>
      <c r="I184" s="4"/>
      <c r="J184" s="3"/>
      <c r="K184" s="4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 t="str">
        <f t="shared" si="50"/>
        <v>No</v>
      </c>
      <c r="AA184" s="5" t="str">
        <f t="shared" si="51"/>
        <v/>
      </c>
      <c r="AB184" s="6" t="str">
        <f>IF(AA184="","",AA184/Settings!$B$7)</f>
        <v/>
      </c>
      <c r="AC184" s="5" t="str">
        <f t="shared" si="52"/>
        <v/>
      </c>
      <c r="AD184" s="5" t="str">
        <f t="shared" si="53"/>
        <v/>
      </c>
      <c r="AE184" s="3" t="str">
        <f>IF(Z184="No","",IF(AND(AA184&gt;=Settings!$B$4, Y184="Yes"),"Green",IF(AA184&gt;=Settings!$B$5,"Yellow","Grey")))</f>
        <v/>
      </c>
      <c r="AF184" s="5">
        <f t="shared" si="58"/>
        <v>0</v>
      </c>
      <c r="AG184" s="5">
        <f t="shared" si="59"/>
        <v>0</v>
      </c>
      <c r="AH184" s="3" t="str">
        <f t="shared" si="54"/>
        <v/>
      </c>
      <c r="AI184" s="5" t="str">
        <f>IF(Z184="No","",MIN(100,ROUND((AA184/Settings!$B$7)*Settings!$B$10 + IF(Y184="Yes",Settings!$B$11,0) + IF(E184="",0,E184*Settings!$B$12),0)))</f>
        <v/>
      </c>
      <c r="AJ184" s="4" t="str">
        <f t="shared" si="55"/>
        <v/>
      </c>
      <c r="AK184" s="4"/>
      <c r="AL184" s="4" t="str">
        <f t="shared" si="56"/>
        <v/>
      </c>
      <c r="AM184" s="4" t="str">
        <f t="shared" si="57"/>
        <v/>
      </c>
    </row>
    <row r="185" spans="1:39" x14ac:dyDescent="0.3">
      <c r="A185" s="2">
        <v>46245</v>
      </c>
      <c r="B185" s="3" t="s">
        <v>37</v>
      </c>
      <c r="C185" s="3"/>
      <c r="D185" s="3"/>
      <c r="E185" s="3"/>
      <c r="F185" s="4"/>
      <c r="G185" s="4"/>
      <c r="H185" s="3"/>
      <c r="I185" s="4"/>
      <c r="J185" s="3"/>
      <c r="K185" s="4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 t="str">
        <f t="shared" si="50"/>
        <v>No</v>
      </c>
      <c r="AA185" s="5" t="str">
        <f t="shared" si="51"/>
        <v/>
      </c>
      <c r="AB185" s="6" t="str">
        <f>IF(AA185="","",AA185/Settings!$B$7)</f>
        <v/>
      </c>
      <c r="AC185" s="5" t="str">
        <f t="shared" si="52"/>
        <v/>
      </c>
      <c r="AD185" s="5" t="str">
        <f t="shared" si="53"/>
        <v/>
      </c>
      <c r="AE185" s="3" t="str">
        <f>IF(Z185="No","",IF(AND(AA185&gt;=Settings!$B$4, Y185="Yes"),"Green",IF(AA185&gt;=Settings!$B$5,"Yellow","Grey")))</f>
        <v/>
      </c>
      <c r="AF185" s="5">
        <f t="shared" si="58"/>
        <v>0</v>
      </c>
      <c r="AG185" s="5">
        <f t="shared" si="59"/>
        <v>0</v>
      </c>
      <c r="AH185" s="3" t="str">
        <f t="shared" si="54"/>
        <v/>
      </c>
      <c r="AI185" s="5" t="str">
        <f>IF(Z185="No","",MIN(100,ROUND((AA185/Settings!$B$7)*Settings!$B$10 + IF(Y185="Yes",Settings!$B$11,0) + IF(E185="",0,E185*Settings!$B$12),0)))</f>
        <v/>
      </c>
      <c r="AJ185" s="4" t="str">
        <f t="shared" si="55"/>
        <v/>
      </c>
      <c r="AK185" s="4"/>
      <c r="AL185" s="4" t="str">
        <f t="shared" si="56"/>
        <v/>
      </c>
      <c r="AM185" s="4" t="str">
        <f t="shared" si="57"/>
        <v/>
      </c>
    </row>
    <row r="186" spans="1:39" x14ac:dyDescent="0.3">
      <c r="A186" s="2">
        <v>46246</v>
      </c>
      <c r="B186" s="3" t="s">
        <v>37</v>
      </c>
      <c r="C186" s="3"/>
      <c r="D186" s="3"/>
      <c r="E186" s="3"/>
      <c r="F186" s="4"/>
      <c r="G186" s="4"/>
      <c r="H186" s="3"/>
      <c r="I186" s="4"/>
      <c r="J186" s="3"/>
      <c r="K186" s="4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 t="str">
        <f t="shared" si="50"/>
        <v>No</v>
      </c>
      <c r="AA186" s="5" t="str">
        <f t="shared" si="51"/>
        <v/>
      </c>
      <c r="AB186" s="6" t="str">
        <f>IF(AA186="","",AA186/Settings!$B$7)</f>
        <v/>
      </c>
      <c r="AC186" s="5" t="str">
        <f t="shared" si="52"/>
        <v/>
      </c>
      <c r="AD186" s="5" t="str">
        <f t="shared" si="53"/>
        <v/>
      </c>
      <c r="AE186" s="3" t="str">
        <f>IF(Z186="No","",IF(AND(AA186&gt;=Settings!$B$4, Y186="Yes"),"Green",IF(AA186&gt;=Settings!$B$5,"Yellow","Grey")))</f>
        <v/>
      </c>
      <c r="AF186" s="5">
        <f t="shared" si="58"/>
        <v>0</v>
      </c>
      <c r="AG186" s="5">
        <f t="shared" si="59"/>
        <v>0</v>
      </c>
      <c r="AH186" s="3" t="str">
        <f t="shared" si="54"/>
        <v/>
      </c>
      <c r="AI186" s="5" t="str">
        <f>IF(Z186="No","",MIN(100,ROUND((AA186/Settings!$B$7)*Settings!$B$10 + IF(Y186="Yes",Settings!$B$11,0) + IF(E186="",0,E186*Settings!$B$12),0)))</f>
        <v/>
      </c>
      <c r="AJ186" s="4" t="str">
        <f t="shared" si="55"/>
        <v/>
      </c>
      <c r="AK186" s="4"/>
      <c r="AL186" s="4" t="str">
        <f t="shared" si="56"/>
        <v/>
      </c>
      <c r="AM186" s="4" t="str">
        <f t="shared" si="57"/>
        <v/>
      </c>
    </row>
    <row r="187" spans="1:39" x14ac:dyDescent="0.3">
      <c r="A187" s="2">
        <v>46247</v>
      </c>
      <c r="B187" s="3" t="s">
        <v>37</v>
      </c>
      <c r="C187" s="3"/>
      <c r="D187" s="3"/>
      <c r="E187" s="3"/>
      <c r="F187" s="4"/>
      <c r="G187" s="4"/>
      <c r="H187" s="3"/>
      <c r="I187" s="4"/>
      <c r="J187" s="3"/>
      <c r="K187" s="4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 t="str">
        <f t="shared" si="50"/>
        <v>No</v>
      </c>
      <c r="AA187" s="5" t="str">
        <f t="shared" si="51"/>
        <v/>
      </c>
      <c r="AB187" s="6" t="str">
        <f>IF(AA187="","",AA187/Settings!$B$7)</f>
        <v/>
      </c>
      <c r="AC187" s="5" t="str">
        <f t="shared" si="52"/>
        <v/>
      </c>
      <c r="AD187" s="5" t="str">
        <f t="shared" si="53"/>
        <v/>
      </c>
      <c r="AE187" s="3" t="str">
        <f>IF(Z187="No","",IF(AND(AA187&gt;=Settings!$B$4, Y187="Yes"),"Green",IF(AA187&gt;=Settings!$B$5,"Yellow","Grey")))</f>
        <v/>
      </c>
      <c r="AF187" s="5">
        <f t="shared" si="58"/>
        <v>0</v>
      </c>
      <c r="AG187" s="5">
        <f t="shared" si="59"/>
        <v>0</v>
      </c>
      <c r="AH187" s="3" t="str">
        <f t="shared" si="54"/>
        <v/>
      </c>
      <c r="AI187" s="5" t="str">
        <f>IF(Z187="No","",MIN(100,ROUND((AA187/Settings!$B$7)*Settings!$B$10 + IF(Y187="Yes",Settings!$B$11,0) + IF(E187="",0,E187*Settings!$B$12),0)))</f>
        <v/>
      </c>
      <c r="AJ187" s="4" t="str">
        <f t="shared" si="55"/>
        <v/>
      </c>
      <c r="AK187" s="4"/>
      <c r="AL187" s="4" t="str">
        <f t="shared" si="56"/>
        <v/>
      </c>
      <c r="AM187" s="4" t="str">
        <f t="shared" si="57"/>
        <v/>
      </c>
    </row>
    <row r="188" spans="1:39" x14ac:dyDescent="0.3">
      <c r="A188" s="2">
        <v>46248</v>
      </c>
      <c r="B188" s="3" t="s">
        <v>37</v>
      </c>
      <c r="C188" s="3"/>
      <c r="D188" s="3"/>
      <c r="E188" s="3"/>
      <c r="F188" s="4"/>
      <c r="G188" s="4"/>
      <c r="H188" s="3"/>
      <c r="I188" s="4"/>
      <c r="J188" s="3"/>
      <c r="K188" s="4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 t="str">
        <f t="shared" si="50"/>
        <v>No</v>
      </c>
      <c r="AA188" s="5" t="str">
        <f t="shared" si="51"/>
        <v/>
      </c>
      <c r="AB188" s="6" t="str">
        <f>IF(AA188="","",AA188/Settings!$B$7)</f>
        <v/>
      </c>
      <c r="AC188" s="5" t="str">
        <f t="shared" si="52"/>
        <v/>
      </c>
      <c r="AD188" s="5" t="str">
        <f t="shared" si="53"/>
        <v/>
      </c>
      <c r="AE188" s="3" t="str">
        <f>IF(Z188="No","",IF(AND(AA188&gt;=Settings!$B$4, Y188="Yes"),"Green",IF(AA188&gt;=Settings!$B$5,"Yellow","Grey")))</f>
        <v/>
      </c>
      <c r="AF188" s="5">
        <f t="shared" si="58"/>
        <v>0</v>
      </c>
      <c r="AG188" s="5">
        <f t="shared" si="59"/>
        <v>0</v>
      </c>
      <c r="AH188" s="3" t="str">
        <f t="shared" si="54"/>
        <v/>
      </c>
      <c r="AI188" s="5" t="str">
        <f>IF(Z188="No","",MIN(100,ROUND((AA188/Settings!$B$7)*Settings!$B$10 + IF(Y188="Yes",Settings!$B$11,0) + IF(E188="",0,E188*Settings!$B$12),0)))</f>
        <v/>
      </c>
      <c r="AJ188" s="4" t="str">
        <f t="shared" si="55"/>
        <v/>
      </c>
      <c r="AK188" s="4"/>
      <c r="AL188" s="4" t="str">
        <f t="shared" si="56"/>
        <v/>
      </c>
      <c r="AM188" s="4" t="str">
        <f t="shared" si="57"/>
        <v/>
      </c>
    </row>
  </sheetData>
  <conditionalFormatting sqref="A2:AM188">
    <cfRule type="expression" dxfId="3" priority="9">
      <formula>$AE2="Green"</formula>
    </cfRule>
    <cfRule type="expression" dxfId="2" priority="10">
      <formula>$AE2="Yellow"</formula>
    </cfRule>
    <cfRule type="expression" dxfId="1" priority="11">
      <formula>$AE2="Grey"</formula>
    </cfRule>
    <cfRule type="expression" dxfId="0" priority="12">
      <formula>$AH2="ALERT"</formula>
    </cfRule>
  </conditionalFormatting>
  <dataValidations count="5">
    <dataValidation type="list" allowBlank="1" showInputMessage="1" showErrorMessage="1" sqref="B2:B188 Y2:Y188" xr:uid="{00000000-0002-0000-0000-000000000000}">
      <formula1>YesNoText</formula1>
    </dataValidation>
    <dataValidation type="list" allowBlank="1" showInputMessage="1" showErrorMessage="1" sqref="C2:C188" xr:uid="{00000000-0002-0000-0000-000001000000}">
      <formula1>ModuleList</formula1>
    </dataValidation>
    <dataValidation type="list" allowBlank="1" showInputMessage="1" showErrorMessage="1" sqref="D2:D188" xr:uid="{00000000-0002-0000-0000-000002000000}">
      <formula1>ContributionList</formula1>
    </dataValidation>
    <dataValidation type="list" allowBlank="1" showInputMessage="1" showErrorMessage="1" sqref="E2:E188" xr:uid="{00000000-0002-0000-0000-000003000000}">
      <formula1>EnergyList</formula1>
    </dataValidation>
    <dataValidation type="list" allowBlank="1" showInputMessage="1" showErrorMessage="1" sqref="H2:H188 J2:J188 L2:L188 M2:X188" xr:uid="{00000000-0002-0000-0000-000004000000}">
      <formula1>YesNoMark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8"/>
  <sheetViews>
    <sheetView showGridLines="0" workbookViewId="0"/>
  </sheetViews>
  <sheetFormatPr baseColWidth="10" defaultColWidth="8.88671875" defaultRowHeight="14.4" x14ac:dyDescent="0.3"/>
  <cols>
    <col min="1" max="3" width="12" customWidth="1"/>
    <col min="4" max="4" width="11" customWidth="1"/>
    <col min="5" max="5" width="12" customWidth="1"/>
    <col min="6" max="6" width="10" customWidth="1"/>
    <col min="7" max="7" width="8" customWidth="1"/>
    <col min="8" max="8" width="20" customWidth="1"/>
    <col min="9" max="10" width="18" customWidth="1"/>
  </cols>
  <sheetData>
    <row r="1" spans="1:10" ht="30" customHeight="1" x14ac:dyDescent="0.3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</row>
    <row r="2" spans="1:10" x14ac:dyDescent="0.3">
      <c r="A2" s="2">
        <v>46062</v>
      </c>
      <c r="B2" s="2">
        <v>46068</v>
      </c>
      <c r="C2" s="3">
        <f>COUNTIFS('Daily Tracker'!$A$2:$A$188,"&gt;="&amp;A2,'Daily Tracker'!$A$2:$A$188,"&lt;="&amp;B2,'Daily Tracker'!$Z$2:$Z$188,"Yes")</f>
        <v>0</v>
      </c>
      <c r="D2" s="3">
        <f>COUNTIFS('Daily Tracker'!$A$2:$A$188,"&gt;="&amp;A2,'Daily Tracker'!$A$2:$A$188,"&lt;="&amp;B2,'Daily Tracker'!$AE$2:$AE$188,"Green")</f>
        <v>0</v>
      </c>
      <c r="E2" s="3">
        <f>COUNTIFS('Daily Tracker'!$A$2:$A$188,"&gt;="&amp;A2,'Daily Tracker'!$A$2:$A$188,"&lt;="&amp;B2,'Daily Tracker'!$AE$2:$AE$188,"Yellow")</f>
        <v>0</v>
      </c>
      <c r="F2" s="3">
        <f>COUNTIFS('Daily Tracker'!$A$2:$A$188,"&gt;="&amp;A2,'Daily Tracker'!$A$2:$A$188,"&lt;="&amp;B2,'Daily Tracker'!$AE$2:$AE$188,"Grey")</f>
        <v>0</v>
      </c>
      <c r="G2" s="3">
        <f>COUNTIFS('Daily Tracker'!$A$2:$A$188,"&gt;="&amp;A2,'Daily Tracker'!$A$2:$A$188,"&lt;="&amp;B2,'Daily Tracker'!$AH$2:$AH$188,"ALERT")</f>
        <v>0</v>
      </c>
      <c r="H2" s="6" t="str">
        <f>IF(C2=0,"",AVERAGEIFS('Daily Tracker'!$AB$2:$AB$188,'Daily Tracker'!$A$2:$A$188,"&gt;="&amp;A2,'Daily Tracker'!$A$2:$A$188,"&lt;="&amp;B2,'Daily Tracker'!$Z$2:$Z$188,"Yes"))</f>
        <v/>
      </c>
      <c r="I2" s="5" t="str">
        <f>IF(C2=0,"",AVERAGEIFS('Daily Tracker'!$AI$2:$AI$188,'Daily Tracker'!$A$2:$A$188,"&gt;="&amp;A2,'Daily Tracker'!$A$2:$A$188,"&lt;="&amp;B2,'Daily Tracker'!$Z$2:$Z$188,"Yes"))</f>
        <v/>
      </c>
      <c r="J2" s="7" t="str">
        <f>IF(C2=0,"",AVERAGEIFS('Daily Tracker'!$E$2:$E$188,'Daily Tracker'!$A$2:$A$188,"&gt;="&amp;A2,'Daily Tracker'!$A$2:$A$188,"&lt;="&amp;B2,'Daily Tracker'!$Z$2:$Z$188,"Yes"))</f>
        <v/>
      </c>
    </row>
    <row r="3" spans="1:10" x14ac:dyDescent="0.3">
      <c r="A3" s="2">
        <v>46069</v>
      </c>
      <c r="B3" s="2">
        <v>46075</v>
      </c>
      <c r="C3" s="3">
        <f>COUNTIFS('Daily Tracker'!$A$2:$A$188,"&gt;="&amp;A3,'Daily Tracker'!$A$2:$A$188,"&lt;="&amp;B3,'Daily Tracker'!$Z$2:$Z$188,"Yes")</f>
        <v>0</v>
      </c>
      <c r="D3" s="3">
        <f>COUNTIFS('Daily Tracker'!$A$2:$A$188,"&gt;="&amp;A3,'Daily Tracker'!$A$2:$A$188,"&lt;="&amp;B3,'Daily Tracker'!$AE$2:$AE$188,"Green")</f>
        <v>0</v>
      </c>
      <c r="E3" s="3">
        <f>COUNTIFS('Daily Tracker'!$A$2:$A$188,"&gt;="&amp;A3,'Daily Tracker'!$A$2:$A$188,"&lt;="&amp;B3,'Daily Tracker'!$AE$2:$AE$188,"Yellow")</f>
        <v>0</v>
      </c>
      <c r="F3" s="3">
        <f>COUNTIFS('Daily Tracker'!$A$2:$A$188,"&gt;="&amp;A3,'Daily Tracker'!$A$2:$A$188,"&lt;="&amp;B3,'Daily Tracker'!$AE$2:$AE$188,"Grey")</f>
        <v>0</v>
      </c>
      <c r="G3" s="3">
        <f>COUNTIFS('Daily Tracker'!$A$2:$A$188,"&gt;="&amp;A3,'Daily Tracker'!$A$2:$A$188,"&lt;="&amp;B3,'Daily Tracker'!$AH$2:$AH$188,"ALERT")</f>
        <v>0</v>
      </c>
      <c r="H3" s="6" t="str">
        <f>IF(C3=0,"",AVERAGEIFS('Daily Tracker'!$AB$2:$AB$188,'Daily Tracker'!$A$2:$A$188,"&gt;="&amp;A3,'Daily Tracker'!$A$2:$A$188,"&lt;="&amp;B3,'Daily Tracker'!$Z$2:$Z$188,"Yes"))</f>
        <v/>
      </c>
      <c r="I3" s="5" t="str">
        <f>IF(C3=0,"",AVERAGEIFS('Daily Tracker'!$AI$2:$AI$188,'Daily Tracker'!$A$2:$A$188,"&gt;="&amp;A3,'Daily Tracker'!$A$2:$A$188,"&lt;="&amp;B3,'Daily Tracker'!$Z$2:$Z$188,"Yes"))</f>
        <v/>
      </c>
      <c r="J3" s="7" t="str">
        <f>IF(C3=0,"",AVERAGEIFS('Daily Tracker'!$E$2:$E$188,'Daily Tracker'!$A$2:$A$188,"&gt;="&amp;A3,'Daily Tracker'!$A$2:$A$188,"&lt;="&amp;B3,'Daily Tracker'!$Z$2:$Z$188,"Yes"))</f>
        <v/>
      </c>
    </row>
    <row r="4" spans="1:10" x14ac:dyDescent="0.3">
      <c r="A4" s="2">
        <v>46076</v>
      </c>
      <c r="B4" s="2">
        <v>46082</v>
      </c>
      <c r="C4" s="3">
        <f>COUNTIFS('Daily Tracker'!$A$2:$A$188,"&gt;="&amp;A4,'Daily Tracker'!$A$2:$A$188,"&lt;="&amp;B4,'Daily Tracker'!$Z$2:$Z$188,"Yes")</f>
        <v>0</v>
      </c>
      <c r="D4" s="3">
        <f>COUNTIFS('Daily Tracker'!$A$2:$A$188,"&gt;="&amp;A4,'Daily Tracker'!$A$2:$A$188,"&lt;="&amp;B4,'Daily Tracker'!$AE$2:$AE$188,"Green")</f>
        <v>0</v>
      </c>
      <c r="E4" s="3">
        <f>COUNTIFS('Daily Tracker'!$A$2:$A$188,"&gt;="&amp;A4,'Daily Tracker'!$A$2:$A$188,"&lt;="&amp;B4,'Daily Tracker'!$AE$2:$AE$188,"Yellow")</f>
        <v>0</v>
      </c>
      <c r="F4" s="3">
        <f>COUNTIFS('Daily Tracker'!$A$2:$A$188,"&gt;="&amp;A4,'Daily Tracker'!$A$2:$A$188,"&lt;="&amp;B4,'Daily Tracker'!$AE$2:$AE$188,"Grey")</f>
        <v>0</v>
      </c>
      <c r="G4" s="3">
        <f>COUNTIFS('Daily Tracker'!$A$2:$A$188,"&gt;="&amp;A4,'Daily Tracker'!$A$2:$A$188,"&lt;="&amp;B4,'Daily Tracker'!$AH$2:$AH$188,"ALERT")</f>
        <v>0</v>
      </c>
      <c r="H4" s="6" t="str">
        <f>IF(C4=0,"",AVERAGEIFS('Daily Tracker'!$AB$2:$AB$188,'Daily Tracker'!$A$2:$A$188,"&gt;="&amp;A4,'Daily Tracker'!$A$2:$A$188,"&lt;="&amp;B4,'Daily Tracker'!$Z$2:$Z$188,"Yes"))</f>
        <v/>
      </c>
      <c r="I4" s="5" t="str">
        <f>IF(C4=0,"",AVERAGEIFS('Daily Tracker'!$AI$2:$AI$188,'Daily Tracker'!$A$2:$A$188,"&gt;="&amp;A4,'Daily Tracker'!$A$2:$A$188,"&lt;="&amp;B4,'Daily Tracker'!$Z$2:$Z$188,"Yes"))</f>
        <v/>
      </c>
      <c r="J4" s="7" t="str">
        <f>IF(C4=0,"",AVERAGEIFS('Daily Tracker'!$E$2:$E$188,'Daily Tracker'!$A$2:$A$188,"&gt;="&amp;A4,'Daily Tracker'!$A$2:$A$188,"&lt;="&amp;B4,'Daily Tracker'!$Z$2:$Z$188,"Yes"))</f>
        <v/>
      </c>
    </row>
    <row r="5" spans="1:10" x14ac:dyDescent="0.3">
      <c r="A5" s="2">
        <v>46083</v>
      </c>
      <c r="B5" s="2">
        <v>46089</v>
      </c>
      <c r="C5" s="3">
        <f>COUNTIFS('Daily Tracker'!$A$2:$A$188,"&gt;="&amp;A5,'Daily Tracker'!$A$2:$A$188,"&lt;="&amp;B5,'Daily Tracker'!$Z$2:$Z$188,"Yes")</f>
        <v>0</v>
      </c>
      <c r="D5" s="3">
        <f>COUNTIFS('Daily Tracker'!$A$2:$A$188,"&gt;="&amp;A5,'Daily Tracker'!$A$2:$A$188,"&lt;="&amp;B5,'Daily Tracker'!$AE$2:$AE$188,"Green")</f>
        <v>0</v>
      </c>
      <c r="E5" s="3">
        <f>COUNTIFS('Daily Tracker'!$A$2:$A$188,"&gt;="&amp;A5,'Daily Tracker'!$A$2:$A$188,"&lt;="&amp;B5,'Daily Tracker'!$AE$2:$AE$188,"Yellow")</f>
        <v>0</v>
      </c>
      <c r="F5" s="3">
        <f>COUNTIFS('Daily Tracker'!$A$2:$A$188,"&gt;="&amp;A5,'Daily Tracker'!$A$2:$A$188,"&lt;="&amp;B5,'Daily Tracker'!$AE$2:$AE$188,"Grey")</f>
        <v>0</v>
      </c>
      <c r="G5" s="3">
        <f>COUNTIFS('Daily Tracker'!$A$2:$A$188,"&gt;="&amp;A5,'Daily Tracker'!$A$2:$A$188,"&lt;="&amp;B5,'Daily Tracker'!$AH$2:$AH$188,"ALERT")</f>
        <v>0</v>
      </c>
      <c r="H5" s="6" t="str">
        <f>IF(C5=0,"",AVERAGEIFS('Daily Tracker'!$AB$2:$AB$188,'Daily Tracker'!$A$2:$A$188,"&gt;="&amp;A5,'Daily Tracker'!$A$2:$A$188,"&lt;="&amp;B5,'Daily Tracker'!$Z$2:$Z$188,"Yes"))</f>
        <v/>
      </c>
      <c r="I5" s="5" t="str">
        <f>IF(C5=0,"",AVERAGEIFS('Daily Tracker'!$AI$2:$AI$188,'Daily Tracker'!$A$2:$A$188,"&gt;="&amp;A5,'Daily Tracker'!$A$2:$A$188,"&lt;="&amp;B5,'Daily Tracker'!$Z$2:$Z$188,"Yes"))</f>
        <v/>
      </c>
      <c r="J5" s="7" t="str">
        <f>IF(C5=0,"",AVERAGEIFS('Daily Tracker'!$E$2:$E$188,'Daily Tracker'!$A$2:$A$188,"&gt;="&amp;A5,'Daily Tracker'!$A$2:$A$188,"&lt;="&amp;B5,'Daily Tracker'!$Z$2:$Z$188,"Yes"))</f>
        <v/>
      </c>
    </row>
    <row r="6" spans="1:10" x14ac:dyDescent="0.3">
      <c r="A6" s="2">
        <v>46090</v>
      </c>
      <c r="B6" s="2">
        <v>46096</v>
      </c>
      <c r="C6" s="3">
        <f>COUNTIFS('Daily Tracker'!$A$2:$A$188,"&gt;="&amp;A6,'Daily Tracker'!$A$2:$A$188,"&lt;="&amp;B6,'Daily Tracker'!$Z$2:$Z$188,"Yes")</f>
        <v>0</v>
      </c>
      <c r="D6" s="3">
        <f>COUNTIFS('Daily Tracker'!$A$2:$A$188,"&gt;="&amp;A6,'Daily Tracker'!$A$2:$A$188,"&lt;="&amp;B6,'Daily Tracker'!$AE$2:$AE$188,"Green")</f>
        <v>0</v>
      </c>
      <c r="E6" s="3">
        <f>COUNTIFS('Daily Tracker'!$A$2:$A$188,"&gt;="&amp;A6,'Daily Tracker'!$A$2:$A$188,"&lt;="&amp;B6,'Daily Tracker'!$AE$2:$AE$188,"Yellow")</f>
        <v>0</v>
      </c>
      <c r="F6" s="3">
        <f>COUNTIFS('Daily Tracker'!$A$2:$A$188,"&gt;="&amp;A6,'Daily Tracker'!$A$2:$A$188,"&lt;="&amp;B6,'Daily Tracker'!$AE$2:$AE$188,"Grey")</f>
        <v>0</v>
      </c>
      <c r="G6" s="3">
        <f>COUNTIFS('Daily Tracker'!$A$2:$A$188,"&gt;="&amp;A6,'Daily Tracker'!$A$2:$A$188,"&lt;="&amp;B6,'Daily Tracker'!$AH$2:$AH$188,"ALERT")</f>
        <v>0</v>
      </c>
      <c r="H6" s="6" t="str">
        <f>IF(C6=0,"",AVERAGEIFS('Daily Tracker'!$AB$2:$AB$188,'Daily Tracker'!$A$2:$A$188,"&gt;="&amp;A6,'Daily Tracker'!$A$2:$A$188,"&lt;="&amp;B6,'Daily Tracker'!$Z$2:$Z$188,"Yes"))</f>
        <v/>
      </c>
      <c r="I6" s="5" t="str">
        <f>IF(C6=0,"",AVERAGEIFS('Daily Tracker'!$AI$2:$AI$188,'Daily Tracker'!$A$2:$A$188,"&gt;="&amp;A6,'Daily Tracker'!$A$2:$A$188,"&lt;="&amp;B6,'Daily Tracker'!$Z$2:$Z$188,"Yes"))</f>
        <v/>
      </c>
      <c r="J6" s="7" t="str">
        <f>IF(C6=0,"",AVERAGEIFS('Daily Tracker'!$E$2:$E$188,'Daily Tracker'!$A$2:$A$188,"&gt;="&amp;A6,'Daily Tracker'!$A$2:$A$188,"&lt;="&amp;B6,'Daily Tracker'!$Z$2:$Z$188,"Yes"))</f>
        <v/>
      </c>
    </row>
    <row r="7" spans="1:10" x14ac:dyDescent="0.3">
      <c r="A7" s="2">
        <v>46097</v>
      </c>
      <c r="B7" s="2">
        <v>46103</v>
      </c>
      <c r="C7" s="3">
        <f>COUNTIFS('Daily Tracker'!$A$2:$A$188,"&gt;="&amp;A7,'Daily Tracker'!$A$2:$A$188,"&lt;="&amp;B7,'Daily Tracker'!$Z$2:$Z$188,"Yes")</f>
        <v>0</v>
      </c>
      <c r="D7" s="3">
        <f>COUNTIFS('Daily Tracker'!$A$2:$A$188,"&gt;="&amp;A7,'Daily Tracker'!$A$2:$A$188,"&lt;="&amp;B7,'Daily Tracker'!$AE$2:$AE$188,"Green")</f>
        <v>0</v>
      </c>
      <c r="E7" s="3">
        <f>COUNTIFS('Daily Tracker'!$A$2:$A$188,"&gt;="&amp;A7,'Daily Tracker'!$A$2:$A$188,"&lt;="&amp;B7,'Daily Tracker'!$AE$2:$AE$188,"Yellow")</f>
        <v>0</v>
      </c>
      <c r="F7" s="3">
        <f>COUNTIFS('Daily Tracker'!$A$2:$A$188,"&gt;="&amp;A7,'Daily Tracker'!$A$2:$A$188,"&lt;="&amp;B7,'Daily Tracker'!$AE$2:$AE$188,"Grey")</f>
        <v>0</v>
      </c>
      <c r="G7" s="3">
        <f>COUNTIFS('Daily Tracker'!$A$2:$A$188,"&gt;="&amp;A7,'Daily Tracker'!$A$2:$A$188,"&lt;="&amp;B7,'Daily Tracker'!$AH$2:$AH$188,"ALERT")</f>
        <v>0</v>
      </c>
      <c r="H7" s="6" t="str">
        <f>IF(C7=0,"",AVERAGEIFS('Daily Tracker'!$AB$2:$AB$188,'Daily Tracker'!$A$2:$A$188,"&gt;="&amp;A7,'Daily Tracker'!$A$2:$A$188,"&lt;="&amp;B7,'Daily Tracker'!$Z$2:$Z$188,"Yes"))</f>
        <v/>
      </c>
      <c r="I7" s="5" t="str">
        <f>IF(C7=0,"",AVERAGEIFS('Daily Tracker'!$AI$2:$AI$188,'Daily Tracker'!$A$2:$A$188,"&gt;="&amp;A7,'Daily Tracker'!$A$2:$A$188,"&lt;="&amp;B7,'Daily Tracker'!$Z$2:$Z$188,"Yes"))</f>
        <v/>
      </c>
      <c r="J7" s="7" t="str">
        <f>IF(C7=0,"",AVERAGEIFS('Daily Tracker'!$E$2:$E$188,'Daily Tracker'!$A$2:$A$188,"&gt;="&amp;A7,'Daily Tracker'!$A$2:$A$188,"&lt;="&amp;B7,'Daily Tracker'!$Z$2:$Z$188,"Yes"))</f>
        <v/>
      </c>
    </row>
    <row r="8" spans="1:10" x14ac:dyDescent="0.3">
      <c r="A8" s="2">
        <v>46104</v>
      </c>
      <c r="B8" s="2">
        <v>46110</v>
      </c>
      <c r="C8" s="3">
        <f>COUNTIFS('Daily Tracker'!$A$2:$A$188,"&gt;="&amp;A8,'Daily Tracker'!$A$2:$A$188,"&lt;="&amp;B8,'Daily Tracker'!$Z$2:$Z$188,"Yes")</f>
        <v>0</v>
      </c>
      <c r="D8" s="3">
        <f>COUNTIFS('Daily Tracker'!$A$2:$A$188,"&gt;="&amp;A8,'Daily Tracker'!$A$2:$A$188,"&lt;="&amp;B8,'Daily Tracker'!$AE$2:$AE$188,"Green")</f>
        <v>0</v>
      </c>
      <c r="E8" s="3">
        <f>COUNTIFS('Daily Tracker'!$A$2:$A$188,"&gt;="&amp;A8,'Daily Tracker'!$A$2:$A$188,"&lt;="&amp;B8,'Daily Tracker'!$AE$2:$AE$188,"Yellow")</f>
        <v>0</v>
      </c>
      <c r="F8" s="3">
        <f>COUNTIFS('Daily Tracker'!$A$2:$A$188,"&gt;="&amp;A8,'Daily Tracker'!$A$2:$A$188,"&lt;="&amp;B8,'Daily Tracker'!$AE$2:$AE$188,"Grey")</f>
        <v>0</v>
      </c>
      <c r="G8" s="3">
        <f>COUNTIFS('Daily Tracker'!$A$2:$A$188,"&gt;="&amp;A8,'Daily Tracker'!$A$2:$A$188,"&lt;="&amp;B8,'Daily Tracker'!$AH$2:$AH$188,"ALERT")</f>
        <v>0</v>
      </c>
      <c r="H8" s="6" t="str">
        <f>IF(C8=0,"",AVERAGEIFS('Daily Tracker'!$AB$2:$AB$188,'Daily Tracker'!$A$2:$A$188,"&gt;="&amp;A8,'Daily Tracker'!$A$2:$A$188,"&lt;="&amp;B8,'Daily Tracker'!$Z$2:$Z$188,"Yes"))</f>
        <v/>
      </c>
      <c r="I8" s="5" t="str">
        <f>IF(C8=0,"",AVERAGEIFS('Daily Tracker'!$AI$2:$AI$188,'Daily Tracker'!$A$2:$A$188,"&gt;="&amp;A8,'Daily Tracker'!$A$2:$A$188,"&lt;="&amp;B8,'Daily Tracker'!$Z$2:$Z$188,"Yes"))</f>
        <v/>
      </c>
      <c r="J8" s="7" t="str">
        <f>IF(C8=0,"",AVERAGEIFS('Daily Tracker'!$E$2:$E$188,'Daily Tracker'!$A$2:$A$188,"&gt;="&amp;A8,'Daily Tracker'!$A$2:$A$188,"&lt;="&amp;B8,'Daily Tracker'!$Z$2:$Z$188,"Yes"))</f>
        <v/>
      </c>
    </row>
    <row r="9" spans="1:10" x14ac:dyDescent="0.3">
      <c r="A9" s="2">
        <v>46111</v>
      </c>
      <c r="B9" s="2">
        <v>46117</v>
      </c>
      <c r="C9" s="3">
        <f>COUNTIFS('Daily Tracker'!$A$2:$A$188,"&gt;="&amp;A9,'Daily Tracker'!$A$2:$A$188,"&lt;="&amp;B9,'Daily Tracker'!$Z$2:$Z$188,"Yes")</f>
        <v>0</v>
      </c>
      <c r="D9" s="3">
        <f>COUNTIFS('Daily Tracker'!$A$2:$A$188,"&gt;="&amp;A9,'Daily Tracker'!$A$2:$A$188,"&lt;="&amp;B9,'Daily Tracker'!$AE$2:$AE$188,"Green")</f>
        <v>0</v>
      </c>
      <c r="E9" s="3">
        <f>COUNTIFS('Daily Tracker'!$A$2:$A$188,"&gt;="&amp;A9,'Daily Tracker'!$A$2:$A$188,"&lt;="&amp;B9,'Daily Tracker'!$AE$2:$AE$188,"Yellow")</f>
        <v>0</v>
      </c>
      <c r="F9" s="3">
        <f>COUNTIFS('Daily Tracker'!$A$2:$A$188,"&gt;="&amp;A9,'Daily Tracker'!$A$2:$A$188,"&lt;="&amp;B9,'Daily Tracker'!$AE$2:$AE$188,"Grey")</f>
        <v>0</v>
      </c>
      <c r="G9" s="3">
        <f>COUNTIFS('Daily Tracker'!$A$2:$A$188,"&gt;="&amp;A9,'Daily Tracker'!$A$2:$A$188,"&lt;="&amp;B9,'Daily Tracker'!$AH$2:$AH$188,"ALERT")</f>
        <v>0</v>
      </c>
      <c r="H9" s="6" t="str">
        <f>IF(C9=0,"",AVERAGEIFS('Daily Tracker'!$AB$2:$AB$188,'Daily Tracker'!$A$2:$A$188,"&gt;="&amp;A9,'Daily Tracker'!$A$2:$A$188,"&lt;="&amp;B9,'Daily Tracker'!$Z$2:$Z$188,"Yes"))</f>
        <v/>
      </c>
      <c r="I9" s="5" t="str">
        <f>IF(C9=0,"",AVERAGEIFS('Daily Tracker'!$AI$2:$AI$188,'Daily Tracker'!$A$2:$A$188,"&gt;="&amp;A9,'Daily Tracker'!$A$2:$A$188,"&lt;="&amp;B9,'Daily Tracker'!$Z$2:$Z$188,"Yes"))</f>
        <v/>
      </c>
      <c r="J9" s="7" t="str">
        <f>IF(C9=0,"",AVERAGEIFS('Daily Tracker'!$E$2:$E$188,'Daily Tracker'!$A$2:$A$188,"&gt;="&amp;A9,'Daily Tracker'!$A$2:$A$188,"&lt;="&amp;B9,'Daily Tracker'!$Z$2:$Z$188,"Yes"))</f>
        <v/>
      </c>
    </row>
    <row r="10" spans="1:10" x14ac:dyDescent="0.3">
      <c r="A10" s="2">
        <v>46118</v>
      </c>
      <c r="B10" s="2">
        <v>46124</v>
      </c>
      <c r="C10" s="3">
        <f>COUNTIFS('Daily Tracker'!$A$2:$A$188,"&gt;="&amp;A10,'Daily Tracker'!$A$2:$A$188,"&lt;="&amp;B10,'Daily Tracker'!$Z$2:$Z$188,"Yes")</f>
        <v>0</v>
      </c>
      <c r="D10" s="3">
        <f>COUNTIFS('Daily Tracker'!$A$2:$A$188,"&gt;="&amp;A10,'Daily Tracker'!$A$2:$A$188,"&lt;="&amp;B10,'Daily Tracker'!$AE$2:$AE$188,"Green")</f>
        <v>0</v>
      </c>
      <c r="E10" s="3">
        <f>COUNTIFS('Daily Tracker'!$A$2:$A$188,"&gt;="&amp;A10,'Daily Tracker'!$A$2:$A$188,"&lt;="&amp;B10,'Daily Tracker'!$AE$2:$AE$188,"Yellow")</f>
        <v>0</v>
      </c>
      <c r="F10" s="3">
        <f>COUNTIFS('Daily Tracker'!$A$2:$A$188,"&gt;="&amp;A10,'Daily Tracker'!$A$2:$A$188,"&lt;="&amp;B10,'Daily Tracker'!$AE$2:$AE$188,"Grey")</f>
        <v>0</v>
      </c>
      <c r="G10" s="3">
        <f>COUNTIFS('Daily Tracker'!$A$2:$A$188,"&gt;="&amp;A10,'Daily Tracker'!$A$2:$A$188,"&lt;="&amp;B10,'Daily Tracker'!$AH$2:$AH$188,"ALERT")</f>
        <v>0</v>
      </c>
      <c r="H10" s="6" t="str">
        <f>IF(C10=0,"",AVERAGEIFS('Daily Tracker'!$AB$2:$AB$188,'Daily Tracker'!$A$2:$A$188,"&gt;="&amp;A10,'Daily Tracker'!$A$2:$A$188,"&lt;="&amp;B10,'Daily Tracker'!$Z$2:$Z$188,"Yes"))</f>
        <v/>
      </c>
      <c r="I10" s="5" t="str">
        <f>IF(C10=0,"",AVERAGEIFS('Daily Tracker'!$AI$2:$AI$188,'Daily Tracker'!$A$2:$A$188,"&gt;="&amp;A10,'Daily Tracker'!$A$2:$A$188,"&lt;="&amp;B10,'Daily Tracker'!$Z$2:$Z$188,"Yes"))</f>
        <v/>
      </c>
      <c r="J10" s="7" t="str">
        <f>IF(C10=0,"",AVERAGEIFS('Daily Tracker'!$E$2:$E$188,'Daily Tracker'!$A$2:$A$188,"&gt;="&amp;A10,'Daily Tracker'!$A$2:$A$188,"&lt;="&amp;B10,'Daily Tracker'!$Z$2:$Z$188,"Yes"))</f>
        <v/>
      </c>
    </row>
    <row r="11" spans="1:10" x14ac:dyDescent="0.3">
      <c r="A11" s="2">
        <v>46125</v>
      </c>
      <c r="B11" s="2">
        <v>46131</v>
      </c>
      <c r="C11" s="3">
        <f>COUNTIFS('Daily Tracker'!$A$2:$A$188,"&gt;="&amp;A11,'Daily Tracker'!$A$2:$A$188,"&lt;="&amp;B11,'Daily Tracker'!$Z$2:$Z$188,"Yes")</f>
        <v>0</v>
      </c>
      <c r="D11" s="3">
        <f>COUNTIFS('Daily Tracker'!$A$2:$A$188,"&gt;="&amp;A11,'Daily Tracker'!$A$2:$A$188,"&lt;="&amp;B11,'Daily Tracker'!$AE$2:$AE$188,"Green")</f>
        <v>0</v>
      </c>
      <c r="E11" s="3">
        <f>COUNTIFS('Daily Tracker'!$A$2:$A$188,"&gt;="&amp;A11,'Daily Tracker'!$A$2:$A$188,"&lt;="&amp;B11,'Daily Tracker'!$AE$2:$AE$188,"Yellow")</f>
        <v>0</v>
      </c>
      <c r="F11" s="3">
        <f>COUNTIFS('Daily Tracker'!$A$2:$A$188,"&gt;="&amp;A11,'Daily Tracker'!$A$2:$A$188,"&lt;="&amp;B11,'Daily Tracker'!$AE$2:$AE$188,"Grey")</f>
        <v>0</v>
      </c>
      <c r="G11" s="3">
        <f>COUNTIFS('Daily Tracker'!$A$2:$A$188,"&gt;="&amp;A11,'Daily Tracker'!$A$2:$A$188,"&lt;="&amp;B11,'Daily Tracker'!$AH$2:$AH$188,"ALERT")</f>
        <v>0</v>
      </c>
      <c r="H11" s="6" t="str">
        <f>IF(C11=0,"",AVERAGEIFS('Daily Tracker'!$AB$2:$AB$188,'Daily Tracker'!$A$2:$A$188,"&gt;="&amp;A11,'Daily Tracker'!$A$2:$A$188,"&lt;="&amp;B11,'Daily Tracker'!$Z$2:$Z$188,"Yes"))</f>
        <v/>
      </c>
      <c r="I11" s="5" t="str">
        <f>IF(C11=0,"",AVERAGEIFS('Daily Tracker'!$AI$2:$AI$188,'Daily Tracker'!$A$2:$A$188,"&gt;="&amp;A11,'Daily Tracker'!$A$2:$A$188,"&lt;="&amp;B11,'Daily Tracker'!$Z$2:$Z$188,"Yes"))</f>
        <v/>
      </c>
      <c r="J11" s="7" t="str">
        <f>IF(C11=0,"",AVERAGEIFS('Daily Tracker'!$E$2:$E$188,'Daily Tracker'!$A$2:$A$188,"&gt;="&amp;A11,'Daily Tracker'!$A$2:$A$188,"&lt;="&amp;B11,'Daily Tracker'!$Z$2:$Z$188,"Yes"))</f>
        <v/>
      </c>
    </row>
    <row r="12" spans="1:10" x14ac:dyDescent="0.3">
      <c r="A12" s="2">
        <v>46132</v>
      </c>
      <c r="B12" s="2">
        <v>46138</v>
      </c>
      <c r="C12" s="3">
        <f>COUNTIFS('Daily Tracker'!$A$2:$A$188,"&gt;="&amp;A12,'Daily Tracker'!$A$2:$A$188,"&lt;="&amp;B12,'Daily Tracker'!$Z$2:$Z$188,"Yes")</f>
        <v>0</v>
      </c>
      <c r="D12" s="3">
        <f>COUNTIFS('Daily Tracker'!$A$2:$A$188,"&gt;="&amp;A12,'Daily Tracker'!$A$2:$A$188,"&lt;="&amp;B12,'Daily Tracker'!$AE$2:$AE$188,"Green")</f>
        <v>0</v>
      </c>
      <c r="E12" s="3">
        <f>COUNTIFS('Daily Tracker'!$A$2:$A$188,"&gt;="&amp;A12,'Daily Tracker'!$A$2:$A$188,"&lt;="&amp;B12,'Daily Tracker'!$AE$2:$AE$188,"Yellow")</f>
        <v>0</v>
      </c>
      <c r="F12" s="3">
        <f>COUNTIFS('Daily Tracker'!$A$2:$A$188,"&gt;="&amp;A12,'Daily Tracker'!$A$2:$A$188,"&lt;="&amp;B12,'Daily Tracker'!$AE$2:$AE$188,"Grey")</f>
        <v>0</v>
      </c>
      <c r="G12" s="3">
        <f>COUNTIFS('Daily Tracker'!$A$2:$A$188,"&gt;="&amp;A12,'Daily Tracker'!$A$2:$A$188,"&lt;="&amp;B12,'Daily Tracker'!$AH$2:$AH$188,"ALERT")</f>
        <v>0</v>
      </c>
      <c r="H12" s="6" t="str">
        <f>IF(C12=0,"",AVERAGEIFS('Daily Tracker'!$AB$2:$AB$188,'Daily Tracker'!$A$2:$A$188,"&gt;="&amp;A12,'Daily Tracker'!$A$2:$A$188,"&lt;="&amp;B12,'Daily Tracker'!$Z$2:$Z$188,"Yes"))</f>
        <v/>
      </c>
      <c r="I12" s="5" t="str">
        <f>IF(C12=0,"",AVERAGEIFS('Daily Tracker'!$AI$2:$AI$188,'Daily Tracker'!$A$2:$A$188,"&gt;="&amp;A12,'Daily Tracker'!$A$2:$A$188,"&lt;="&amp;B12,'Daily Tracker'!$Z$2:$Z$188,"Yes"))</f>
        <v/>
      </c>
      <c r="J12" s="7" t="str">
        <f>IF(C12=0,"",AVERAGEIFS('Daily Tracker'!$E$2:$E$188,'Daily Tracker'!$A$2:$A$188,"&gt;="&amp;A12,'Daily Tracker'!$A$2:$A$188,"&lt;="&amp;B12,'Daily Tracker'!$Z$2:$Z$188,"Yes"))</f>
        <v/>
      </c>
    </row>
    <row r="13" spans="1:10" x14ac:dyDescent="0.3">
      <c r="A13" s="2">
        <v>46139</v>
      </c>
      <c r="B13" s="2">
        <v>46145</v>
      </c>
      <c r="C13" s="3">
        <f>COUNTIFS('Daily Tracker'!$A$2:$A$188,"&gt;="&amp;A13,'Daily Tracker'!$A$2:$A$188,"&lt;="&amp;B13,'Daily Tracker'!$Z$2:$Z$188,"Yes")</f>
        <v>0</v>
      </c>
      <c r="D13" s="3">
        <f>COUNTIFS('Daily Tracker'!$A$2:$A$188,"&gt;="&amp;A13,'Daily Tracker'!$A$2:$A$188,"&lt;="&amp;B13,'Daily Tracker'!$AE$2:$AE$188,"Green")</f>
        <v>0</v>
      </c>
      <c r="E13" s="3">
        <f>COUNTIFS('Daily Tracker'!$A$2:$A$188,"&gt;="&amp;A13,'Daily Tracker'!$A$2:$A$188,"&lt;="&amp;B13,'Daily Tracker'!$AE$2:$AE$188,"Yellow")</f>
        <v>0</v>
      </c>
      <c r="F13" s="3">
        <f>COUNTIFS('Daily Tracker'!$A$2:$A$188,"&gt;="&amp;A13,'Daily Tracker'!$A$2:$A$188,"&lt;="&amp;B13,'Daily Tracker'!$AE$2:$AE$188,"Grey")</f>
        <v>0</v>
      </c>
      <c r="G13" s="3">
        <f>COUNTIFS('Daily Tracker'!$A$2:$A$188,"&gt;="&amp;A13,'Daily Tracker'!$A$2:$A$188,"&lt;="&amp;B13,'Daily Tracker'!$AH$2:$AH$188,"ALERT")</f>
        <v>0</v>
      </c>
      <c r="H13" s="6" t="str">
        <f>IF(C13=0,"",AVERAGEIFS('Daily Tracker'!$AB$2:$AB$188,'Daily Tracker'!$A$2:$A$188,"&gt;="&amp;A13,'Daily Tracker'!$A$2:$A$188,"&lt;="&amp;B13,'Daily Tracker'!$Z$2:$Z$188,"Yes"))</f>
        <v/>
      </c>
      <c r="I13" s="5" t="str">
        <f>IF(C13=0,"",AVERAGEIFS('Daily Tracker'!$AI$2:$AI$188,'Daily Tracker'!$A$2:$A$188,"&gt;="&amp;A13,'Daily Tracker'!$A$2:$A$188,"&lt;="&amp;B13,'Daily Tracker'!$Z$2:$Z$188,"Yes"))</f>
        <v/>
      </c>
      <c r="J13" s="7" t="str">
        <f>IF(C13=0,"",AVERAGEIFS('Daily Tracker'!$E$2:$E$188,'Daily Tracker'!$A$2:$A$188,"&gt;="&amp;A13,'Daily Tracker'!$A$2:$A$188,"&lt;="&amp;B13,'Daily Tracker'!$Z$2:$Z$188,"Yes"))</f>
        <v/>
      </c>
    </row>
    <row r="14" spans="1:10" x14ac:dyDescent="0.3">
      <c r="A14" s="2">
        <v>46146</v>
      </c>
      <c r="B14" s="2">
        <v>46152</v>
      </c>
      <c r="C14" s="3">
        <f>COUNTIFS('Daily Tracker'!$A$2:$A$188,"&gt;="&amp;A14,'Daily Tracker'!$A$2:$A$188,"&lt;="&amp;B14,'Daily Tracker'!$Z$2:$Z$188,"Yes")</f>
        <v>0</v>
      </c>
      <c r="D14" s="3">
        <f>COUNTIFS('Daily Tracker'!$A$2:$A$188,"&gt;="&amp;A14,'Daily Tracker'!$A$2:$A$188,"&lt;="&amp;B14,'Daily Tracker'!$AE$2:$AE$188,"Green")</f>
        <v>0</v>
      </c>
      <c r="E14" s="3">
        <f>COUNTIFS('Daily Tracker'!$A$2:$A$188,"&gt;="&amp;A14,'Daily Tracker'!$A$2:$A$188,"&lt;="&amp;B14,'Daily Tracker'!$AE$2:$AE$188,"Yellow")</f>
        <v>0</v>
      </c>
      <c r="F14" s="3">
        <f>COUNTIFS('Daily Tracker'!$A$2:$A$188,"&gt;="&amp;A14,'Daily Tracker'!$A$2:$A$188,"&lt;="&amp;B14,'Daily Tracker'!$AE$2:$AE$188,"Grey")</f>
        <v>0</v>
      </c>
      <c r="G14" s="3">
        <f>COUNTIFS('Daily Tracker'!$A$2:$A$188,"&gt;="&amp;A14,'Daily Tracker'!$A$2:$A$188,"&lt;="&amp;B14,'Daily Tracker'!$AH$2:$AH$188,"ALERT")</f>
        <v>0</v>
      </c>
      <c r="H14" s="6" t="str">
        <f>IF(C14=0,"",AVERAGEIFS('Daily Tracker'!$AB$2:$AB$188,'Daily Tracker'!$A$2:$A$188,"&gt;="&amp;A14,'Daily Tracker'!$A$2:$A$188,"&lt;="&amp;B14,'Daily Tracker'!$Z$2:$Z$188,"Yes"))</f>
        <v/>
      </c>
      <c r="I14" s="5" t="str">
        <f>IF(C14=0,"",AVERAGEIFS('Daily Tracker'!$AI$2:$AI$188,'Daily Tracker'!$A$2:$A$188,"&gt;="&amp;A14,'Daily Tracker'!$A$2:$A$188,"&lt;="&amp;B14,'Daily Tracker'!$Z$2:$Z$188,"Yes"))</f>
        <v/>
      </c>
      <c r="J14" s="7" t="str">
        <f>IF(C14=0,"",AVERAGEIFS('Daily Tracker'!$E$2:$E$188,'Daily Tracker'!$A$2:$A$188,"&gt;="&amp;A14,'Daily Tracker'!$A$2:$A$188,"&lt;="&amp;B14,'Daily Tracker'!$Z$2:$Z$188,"Yes"))</f>
        <v/>
      </c>
    </row>
    <row r="15" spans="1:10" x14ac:dyDescent="0.3">
      <c r="A15" s="2">
        <v>46153</v>
      </c>
      <c r="B15" s="2">
        <v>46159</v>
      </c>
      <c r="C15" s="3">
        <f>COUNTIFS('Daily Tracker'!$A$2:$A$188,"&gt;="&amp;A15,'Daily Tracker'!$A$2:$A$188,"&lt;="&amp;B15,'Daily Tracker'!$Z$2:$Z$188,"Yes")</f>
        <v>0</v>
      </c>
      <c r="D15" s="3">
        <f>COUNTIFS('Daily Tracker'!$A$2:$A$188,"&gt;="&amp;A15,'Daily Tracker'!$A$2:$A$188,"&lt;="&amp;B15,'Daily Tracker'!$AE$2:$AE$188,"Green")</f>
        <v>0</v>
      </c>
      <c r="E15" s="3">
        <f>COUNTIFS('Daily Tracker'!$A$2:$A$188,"&gt;="&amp;A15,'Daily Tracker'!$A$2:$A$188,"&lt;="&amp;B15,'Daily Tracker'!$AE$2:$AE$188,"Yellow")</f>
        <v>0</v>
      </c>
      <c r="F15" s="3">
        <f>COUNTIFS('Daily Tracker'!$A$2:$A$188,"&gt;="&amp;A15,'Daily Tracker'!$A$2:$A$188,"&lt;="&amp;B15,'Daily Tracker'!$AE$2:$AE$188,"Grey")</f>
        <v>0</v>
      </c>
      <c r="G15" s="3">
        <f>COUNTIFS('Daily Tracker'!$A$2:$A$188,"&gt;="&amp;A15,'Daily Tracker'!$A$2:$A$188,"&lt;="&amp;B15,'Daily Tracker'!$AH$2:$AH$188,"ALERT")</f>
        <v>0</v>
      </c>
      <c r="H15" s="6" t="str">
        <f>IF(C15=0,"",AVERAGEIFS('Daily Tracker'!$AB$2:$AB$188,'Daily Tracker'!$A$2:$A$188,"&gt;="&amp;A15,'Daily Tracker'!$A$2:$A$188,"&lt;="&amp;B15,'Daily Tracker'!$Z$2:$Z$188,"Yes"))</f>
        <v/>
      </c>
      <c r="I15" s="5" t="str">
        <f>IF(C15=0,"",AVERAGEIFS('Daily Tracker'!$AI$2:$AI$188,'Daily Tracker'!$A$2:$A$188,"&gt;="&amp;A15,'Daily Tracker'!$A$2:$A$188,"&lt;="&amp;B15,'Daily Tracker'!$Z$2:$Z$188,"Yes"))</f>
        <v/>
      </c>
      <c r="J15" s="7" t="str">
        <f>IF(C15=0,"",AVERAGEIFS('Daily Tracker'!$E$2:$E$188,'Daily Tracker'!$A$2:$A$188,"&gt;="&amp;A15,'Daily Tracker'!$A$2:$A$188,"&lt;="&amp;B15,'Daily Tracker'!$Z$2:$Z$188,"Yes"))</f>
        <v/>
      </c>
    </row>
    <row r="16" spans="1:10" x14ac:dyDescent="0.3">
      <c r="A16" s="2">
        <v>46160</v>
      </c>
      <c r="B16" s="2">
        <v>46166</v>
      </c>
      <c r="C16" s="3">
        <f>COUNTIFS('Daily Tracker'!$A$2:$A$188,"&gt;="&amp;A16,'Daily Tracker'!$A$2:$A$188,"&lt;="&amp;B16,'Daily Tracker'!$Z$2:$Z$188,"Yes")</f>
        <v>0</v>
      </c>
      <c r="D16" s="3">
        <f>COUNTIFS('Daily Tracker'!$A$2:$A$188,"&gt;="&amp;A16,'Daily Tracker'!$A$2:$A$188,"&lt;="&amp;B16,'Daily Tracker'!$AE$2:$AE$188,"Green")</f>
        <v>0</v>
      </c>
      <c r="E16" s="3">
        <f>COUNTIFS('Daily Tracker'!$A$2:$A$188,"&gt;="&amp;A16,'Daily Tracker'!$A$2:$A$188,"&lt;="&amp;B16,'Daily Tracker'!$AE$2:$AE$188,"Yellow")</f>
        <v>0</v>
      </c>
      <c r="F16" s="3">
        <f>COUNTIFS('Daily Tracker'!$A$2:$A$188,"&gt;="&amp;A16,'Daily Tracker'!$A$2:$A$188,"&lt;="&amp;B16,'Daily Tracker'!$AE$2:$AE$188,"Grey")</f>
        <v>0</v>
      </c>
      <c r="G16" s="3">
        <f>COUNTIFS('Daily Tracker'!$A$2:$A$188,"&gt;="&amp;A16,'Daily Tracker'!$A$2:$A$188,"&lt;="&amp;B16,'Daily Tracker'!$AH$2:$AH$188,"ALERT")</f>
        <v>0</v>
      </c>
      <c r="H16" s="6" t="str">
        <f>IF(C16=0,"",AVERAGEIFS('Daily Tracker'!$AB$2:$AB$188,'Daily Tracker'!$A$2:$A$188,"&gt;="&amp;A16,'Daily Tracker'!$A$2:$A$188,"&lt;="&amp;B16,'Daily Tracker'!$Z$2:$Z$188,"Yes"))</f>
        <v/>
      </c>
      <c r="I16" s="5" t="str">
        <f>IF(C16=0,"",AVERAGEIFS('Daily Tracker'!$AI$2:$AI$188,'Daily Tracker'!$A$2:$A$188,"&gt;="&amp;A16,'Daily Tracker'!$A$2:$A$188,"&lt;="&amp;B16,'Daily Tracker'!$Z$2:$Z$188,"Yes"))</f>
        <v/>
      </c>
      <c r="J16" s="7" t="str">
        <f>IF(C16=0,"",AVERAGEIFS('Daily Tracker'!$E$2:$E$188,'Daily Tracker'!$A$2:$A$188,"&gt;="&amp;A16,'Daily Tracker'!$A$2:$A$188,"&lt;="&amp;B16,'Daily Tracker'!$Z$2:$Z$188,"Yes"))</f>
        <v/>
      </c>
    </row>
    <row r="17" spans="1:10" x14ac:dyDescent="0.3">
      <c r="A17" s="2">
        <v>46167</v>
      </c>
      <c r="B17" s="2">
        <v>46173</v>
      </c>
      <c r="C17" s="3">
        <f>COUNTIFS('Daily Tracker'!$A$2:$A$188,"&gt;="&amp;A17,'Daily Tracker'!$A$2:$A$188,"&lt;="&amp;B17,'Daily Tracker'!$Z$2:$Z$188,"Yes")</f>
        <v>0</v>
      </c>
      <c r="D17" s="3">
        <f>COUNTIFS('Daily Tracker'!$A$2:$A$188,"&gt;="&amp;A17,'Daily Tracker'!$A$2:$A$188,"&lt;="&amp;B17,'Daily Tracker'!$AE$2:$AE$188,"Green")</f>
        <v>0</v>
      </c>
      <c r="E17" s="3">
        <f>COUNTIFS('Daily Tracker'!$A$2:$A$188,"&gt;="&amp;A17,'Daily Tracker'!$A$2:$A$188,"&lt;="&amp;B17,'Daily Tracker'!$AE$2:$AE$188,"Yellow")</f>
        <v>0</v>
      </c>
      <c r="F17" s="3">
        <f>COUNTIFS('Daily Tracker'!$A$2:$A$188,"&gt;="&amp;A17,'Daily Tracker'!$A$2:$A$188,"&lt;="&amp;B17,'Daily Tracker'!$AE$2:$AE$188,"Grey")</f>
        <v>0</v>
      </c>
      <c r="G17" s="3">
        <f>COUNTIFS('Daily Tracker'!$A$2:$A$188,"&gt;="&amp;A17,'Daily Tracker'!$A$2:$A$188,"&lt;="&amp;B17,'Daily Tracker'!$AH$2:$AH$188,"ALERT")</f>
        <v>0</v>
      </c>
      <c r="H17" s="6" t="str">
        <f>IF(C17=0,"",AVERAGEIFS('Daily Tracker'!$AB$2:$AB$188,'Daily Tracker'!$A$2:$A$188,"&gt;="&amp;A17,'Daily Tracker'!$A$2:$A$188,"&lt;="&amp;B17,'Daily Tracker'!$Z$2:$Z$188,"Yes"))</f>
        <v/>
      </c>
      <c r="I17" s="5" t="str">
        <f>IF(C17=0,"",AVERAGEIFS('Daily Tracker'!$AI$2:$AI$188,'Daily Tracker'!$A$2:$A$188,"&gt;="&amp;A17,'Daily Tracker'!$A$2:$A$188,"&lt;="&amp;B17,'Daily Tracker'!$Z$2:$Z$188,"Yes"))</f>
        <v/>
      </c>
      <c r="J17" s="7" t="str">
        <f>IF(C17=0,"",AVERAGEIFS('Daily Tracker'!$E$2:$E$188,'Daily Tracker'!$A$2:$A$188,"&gt;="&amp;A17,'Daily Tracker'!$A$2:$A$188,"&lt;="&amp;B17,'Daily Tracker'!$Z$2:$Z$188,"Yes"))</f>
        <v/>
      </c>
    </row>
    <row r="18" spans="1:10" x14ac:dyDescent="0.3">
      <c r="A18" s="2">
        <v>46174</v>
      </c>
      <c r="B18" s="2">
        <v>46180</v>
      </c>
      <c r="C18" s="3">
        <f>COUNTIFS('Daily Tracker'!$A$2:$A$188,"&gt;="&amp;A18,'Daily Tracker'!$A$2:$A$188,"&lt;="&amp;B18,'Daily Tracker'!$Z$2:$Z$188,"Yes")</f>
        <v>0</v>
      </c>
      <c r="D18" s="3">
        <f>COUNTIFS('Daily Tracker'!$A$2:$A$188,"&gt;="&amp;A18,'Daily Tracker'!$A$2:$A$188,"&lt;="&amp;B18,'Daily Tracker'!$AE$2:$AE$188,"Green")</f>
        <v>0</v>
      </c>
      <c r="E18" s="3">
        <f>COUNTIFS('Daily Tracker'!$A$2:$A$188,"&gt;="&amp;A18,'Daily Tracker'!$A$2:$A$188,"&lt;="&amp;B18,'Daily Tracker'!$AE$2:$AE$188,"Yellow")</f>
        <v>0</v>
      </c>
      <c r="F18" s="3">
        <f>COUNTIFS('Daily Tracker'!$A$2:$A$188,"&gt;="&amp;A18,'Daily Tracker'!$A$2:$A$188,"&lt;="&amp;B18,'Daily Tracker'!$AE$2:$AE$188,"Grey")</f>
        <v>0</v>
      </c>
      <c r="G18" s="3">
        <f>COUNTIFS('Daily Tracker'!$A$2:$A$188,"&gt;="&amp;A18,'Daily Tracker'!$A$2:$A$188,"&lt;="&amp;B18,'Daily Tracker'!$AH$2:$AH$188,"ALERT")</f>
        <v>0</v>
      </c>
      <c r="H18" s="6" t="str">
        <f>IF(C18=0,"",AVERAGEIFS('Daily Tracker'!$AB$2:$AB$188,'Daily Tracker'!$A$2:$A$188,"&gt;="&amp;A18,'Daily Tracker'!$A$2:$A$188,"&lt;="&amp;B18,'Daily Tracker'!$Z$2:$Z$188,"Yes"))</f>
        <v/>
      </c>
      <c r="I18" s="5" t="str">
        <f>IF(C18=0,"",AVERAGEIFS('Daily Tracker'!$AI$2:$AI$188,'Daily Tracker'!$A$2:$A$188,"&gt;="&amp;A18,'Daily Tracker'!$A$2:$A$188,"&lt;="&amp;B18,'Daily Tracker'!$Z$2:$Z$188,"Yes"))</f>
        <v/>
      </c>
      <c r="J18" s="7" t="str">
        <f>IF(C18=0,"",AVERAGEIFS('Daily Tracker'!$E$2:$E$188,'Daily Tracker'!$A$2:$A$188,"&gt;="&amp;A18,'Daily Tracker'!$A$2:$A$188,"&lt;="&amp;B18,'Daily Tracker'!$Z$2:$Z$188,"Yes"))</f>
        <v/>
      </c>
    </row>
    <row r="19" spans="1:10" x14ac:dyDescent="0.3">
      <c r="A19" s="2">
        <v>46181</v>
      </c>
      <c r="B19" s="2">
        <v>46187</v>
      </c>
      <c r="C19" s="3">
        <f>COUNTIFS('Daily Tracker'!$A$2:$A$188,"&gt;="&amp;A19,'Daily Tracker'!$A$2:$A$188,"&lt;="&amp;B19,'Daily Tracker'!$Z$2:$Z$188,"Yes")</f>
        <v>0</v>
      </c>
      <c r="D19" s="3">
        <f>COUNTIFS('Daily Tracker'!$A$2:$A$188,"&gt;="&amp;A19,'Daily Tracker'!$A$2:$A$188,"&lt;="&amp;B19,'Daily Tracker'!$AE$2:$AE$188,"Green")</f>
        <v>0</v>
      </c>
      <c r="E19" s="3">
        <f>COUNTIFS('Daily Tracker'!$A$2:$A$188,"&gt;="&amp;A19,'Daily Tracker'!$A$2:$A$188,"&lt;="&amp;B19,'Daily Tracker'!$AE$2:$AE$188,"Yellow")</f>
        <v>0</v>
      </c>
      <c r="F19" s="3">
        <f>COUNTIFS('Daily Tracker'!$A$2:$A$188,"&gt;="&amp;A19,'Daily Tracker'!$A$2:$A$188,"&lt;="&amp;B19,'Daily Tracker'!$AE$2:$AE$188,"Grey")</f>
        <v>0</v>
      </c>
      <c r="G19" s="3">
        <f>COUNTIFS('Daily Tracker'!$A$2:$A$188,"&gt;="&amp;A19,'Daily Tracker'!$A$2:$A$188,"&lt;="&amp;B19,'Daily Tracker'!$AH$2:$AH$188,"ALERT")</f>
        <v>0</v>
      </c>
      <c r="H19" s="6" t="str">
        <f>IF(C19=0,"",AVERAGEIFS('Daily Tracker'!$AB$2:$AB$188,'Daily Tracker'!$A$2:$A$188,"&gt;="&amp;A19,'Daily Tracker'!$A$2:$A$188,"&lt;="&amp;B19,'Daily Tracker'!$Z$2:$Z$188,"Yes"))</f>
        <v/>
      </c>
      <c r="I19" s="5" t="str">
        <f>IF(C19=0,"",AVERAGEIFS('Daily Tracker'!$AI$2:$AI$188,'Daily Tracker'!$A$2:$A$188,"&gt;="&amp;A19,'Daily Tracker'!$A$2:$A$188,"&lt;="&amp;B19,'Daily Tracker'!$Z$2:$Z$188,"Yes"))</f>
        <v/>
      </c>
      <c r="J19" s="7" t="str">
        <f>IF(C19=0,"",AVERAGEIFS('Daily Tracker'!$E$2:$E$188,'Daily Tracker'!$A$2:$A$188,"&gt;="&amp;A19,'Daily Tracker'!$A$2:$A$188,"&lt;="&amp;B19,'Daily Tracker'!$Z$2:$Z$188,"Yes"))</f>
        <v/>
      </c>
    </row>
    <row r="20" spans="1:10" x14ac:dyDescent="0.3">
      <c r="A20" s="2">
        <v>46188</v>
      </c>
      <c r="B20" s="2">
        <v>46194</v>
      </c>
      <c r="C20" s="3">
        <f>COUNTIFS('Daily Tracker'!$A$2:$A$188,"&gt;="&amp;A20,'Daily Tracker'!$A$2:$A$188,"&lt;="&amp;B20,'Daily Tracker'!$Z$2:$Z$188,"Yes")</f>
        <v>0</v>
      </c>
      <c r="D20" s="3">
        <f>COUNTIFS('Daily Tracker'!$A$2:$A$188,"&gt;="&amp;A20,'Daily Tracker'!$A$2:$A$188,"&lt;="&amp;B20,'Daily Tracker'!$AE$2:$AE$188,"Green")</f>
        <v>0</v>
      </c>
      <c r="E20" s="3">
        <f>COUNTIFS('Daily Tracker'!$A$2:$A$188,"&gt;="&amp;A20,'Daily Tracker'!$A$2:$A$188,"&lt;="&amp;B20,'Daily Tracker'!$AE$2:$AE$188,"Yellow")</f>
        <v>0</v>
      </c>
      <c r="F20" s="3">
        <f>COUNTIFS('Daily Tracker'!$A$2:$A$188,"&gt;="&amp;A20,'Daily Tracker'!$A$2:$A$188,"&lt;="&amp;B20,'Daily Tracker'!$AE$2:$AE$188,"Grey")</f>
        <v>0</v>
      </c>
      <c r="G20" s="3">
        <f>COUNTIFS('Daily Tracker'!$A$2:$A$188,"&gt;="&amp;A20,'Daily Tracker'!$A$2:$A$188,"&lt;="&amp;B20,'Daily Tracker'!$AH$2:$AH$188,"ALERT")</f>
        <v>0</v>
      </c>
      <c r="H20" s="6" t="str">
        <f>IF(C20=0,"",AVERAGEIFS('Daily Tracker'!$AB$2:$AB$188,'Daily Tracker'!$A$2:$A$188,"&gt;="&amp;A20,'Daily Tracker'!$A$2:$A$188,"&lt;="&amp;B20,'Daily Tracker'!$Z$2:$Z$188,"Yes"))</f>
        <v/>
      </c>
      <c r="I20" s="5" t="str">
        <f>IF(C20=0,"",AVERAGEIFS('Daily Tracker'!$AI$2:$AI$188,'Daily Tracker'!$A$2:$A$188,"&gt;="&amp;A20,'Daily Tracker'!$A$2:$A$188,"&lt;="&amp;B20,'Daily Tracker'!$Z$2:$Z$188,"Yes"))</f>
        <v/>
      </c>
      <c r="J20" s="7" t="str">
        <f>IF(C20=0,"",AVERAGEIFS('Daily Tracker'!$E$2:$E$188,'Daily Tracker'!$A$2:$A$188,"&gt;="&amp;A20,'Daily Tracker'!$A$2:$A$188,"&lt;="&amp;B20,'Daily Tracker'!$Z$2:$Z$188,"Yes"))</f>
        <v/>
      </c>
    </row>
    <row r="21" spans="1:10" x14ac:dyDescent="0.3">
      <c r="A21" s="2">
        <v>46195</v>
      </c>
      <c r="B21" s="2">
        <v>46201</v>
      </c>
      <c r="C21" s="3">
        <f>COUNTIFS('Daily Tracker'!$A$2:$A$188,"&gt;="&amp;A21,'Daily Tracker'!$A$2:$A$188,"&lt;="&amp;B21,'Daily Tracker'!$Z$2:$Z$188,"Yes")</f>
        <v>0</v>
      </c>
      <c r="D21" s="3">
        <f>COUNTIFS('Daily Tracker'!$A$2:$A$188,"&gt;="&amp;A21,'Daily Tracker'!$A$2:$A$188,"&lt;="&amp;B21,'Daily Tracker'!$AE$2:$AE$188,"Green")</f>
        <v>0</v>
      </c>
      <c r="E21" s="3">
        <f>COUNTIFS('Daily Tracker'!$A$2:$A$188,"&gt;="&amp;A21,'Daily Tracker'!$A$2:$A$188,"&lt;="&amp;B21,'Daily Tracker'!$AE$2:$AE$188,"Yellow")</f>
        <v>0</v>
      </c>
      <c r="F21" s="3">
        <f>COUNTIFS('Daily Tracker'!$A$2:$A$188,"&gt;="&amp;A21,'Daily Tracker'!$A$2:$A$188,"&lt;="&amp;B21,'Daily Tracker'!$AE$2:$AE$188,"Grey")</f>
        <v>0</v>
      </c>
      <c r="G21" s="3">
        <f>COUNTIFS('Daily Tracker'!$A$2:$A$188,"&gt;="&amp;A21,'Daily Tracker'!$A$2:$A$188,"&lt;="&amp;B21,'Daily Tracker'!$AH$2:$AH$188,"ALERT")</f>
        <v>0</v>
      </c>
      <c r="H21" s="6" t="str">
        <f>IF(C21=0,"",AVERAGEIFS('Daily Tracker'!$AB$2:$AB$188,'Daily Tracker'!$A$2:$A$188,"&gt;="&amp;A21,'Daily Tracker'!$A$2:$A$188,"&lt;="&amp;B21,'Daily Tracker'!$Z$2:$Z$188,"Yes"))</f>
        <v/>
      </c>
      <c r="I21" s="5" t="str">
        <f>IF(C21=0,"",AVERAGEIFS('Daily Tracker'!$AI$2:$AI$188,'Daily Tracker'!$A$2:$A$188,"&gt;="&amp;A21,'Daily Tracker'!$A$2:$A$188,"&lt;="&amp;B21,'Daily Tracker'!$Z$2:$Z$188,"Yes"))</f>
        <v/>
      </c>
      <c r="J21" s="7" t="str">
        <f>IF(C21=0,"",AVERAGEIFS('Daily Tracker'!$E$2:$E$188,'Daily Tracker'!$A$2:$A$188,"&gt;="&amp;A21,'Daily Tracker'!$A$2:$A$188,"&lt;="&amp;B21,'Daily Tracker'!$Z$2:$Z$188,"Yes"))</f>
        <v/>
      </c>
    </row>
    <row r="22" spans="1:10" x14ac:dyDescent="0.3">
      <c r="A22" s="2">
        <v>46202</v>
      </c>
      <c r="B22" s="2">
        <v>46208</v>
      </c>
      <c r="C22" s="3">
        <f>COUNTIFS('Daily Tracker'!$A$2:$A$188,"&gt;="&amp;A22,'Daily Tracker'!$A$2:$A$188,"&lt;="&amp;B22,'Daily Tracker'!$Z$2:$Z$188,"Yes")</f>
        <v>0</v>
      </c>
      <c r="D22" s="3">
        <f>COUNTIFS('Daily Tracker'!$A$2:$A$188,"&gt;="&amp;A22,'Daily Tracker'!$A$2:$A$188,"&lt;="&amp;B22,'Daily Tracker'!$AE$2:$AE$188,"Green")</f>
        <v>0</v>
      </c>
      <c r="E22" s="3">
        <f>COUNTIFS('Daily Tracker'!$A$2:$A$188,"&gt;="&amp;A22,'Daily Tracker'!$A$2:$A$188,"&lt;="&amp;B22,'Daily Tracker'!$AE$2:$AE$188,"Yellow")</f>
        <v>0</v>
      </c>
      <c r="F22" s="3">
        <f>COUNTIFS('Daily Tracker'!$A$2:$A$188,"&gt;="&amp;A22,'Daily Tracker'!$A$2:$A$188,"&lt;="&amp;B22,'Daily Tracker'!$AE$2:$AE$188,"Grey")</f>
        <v>0</v>
      </c>
      <c r="G22" s="3">
        <f>COUNTIFS('Daily Tracker'!$A$2:$A$188,"&gt;="&amp;A22,'Daily Tracker'!$A$2:$A$188,"&lt;="&amp;B22,'Daily Tracker'!$AH$2:$AH$188,"ALERT")</f>
        <v>0</v>
      </c>
      <c r="H22" s="6" t="str">
        <f>IF(C22=0,"",AVERAGEIFS('Daily Tracker'!$AB$2:$AB$188,'Daily Tracker'!$A$2:$A$188,"&gt;="&amp;A22,'Daily Tracker'!$A$2:$A$188,"&lt;="&amp;B22,'Daily Tracker'!$Z$2:$Z$188,"Yes"))</f>
        <v/>
      </c>
      <c r="I22" s="5" t="str">
        <f>IF(C22=0,"",AVERAGEIFS('Daily Tracker'!$AI$2:$AI$188,'Daily Tracker'!$A$2:$A$188,"&gt;="&amp;A22,'Daily Tracker'!$A$2:$A$188,"&lt;="&amp;B22,'Daily Tracker'!$Z$2:$Z$188,"Yes"))</f>
        <v/>
      </c>
      <c r="J22" s="7" t="str">
        <f>IF(C22=0,"",AVERAGEIFS('Daily Tracker'!$E$2:$E$188,'Daily Tracker'!$A$2:$A$188,"&gt;="&amp;A22,'Daily Tracker'!$A$2:$A$188,"&lt;="&amp;B22,'Daily Tracker'!$Z$2:$Z$188,"Yes"))</f>
        <v/>
      </c>
    </row>
    <row r="23" spans="1:10" x14ac:dyDescent="0.3">
      <c r="A23" s="2">
        <v>46209</v>
      </c>
      <c r="B23" s="2">
        <v>46215</v>
      </c>
      <c r="C23" s="3">
        <f>COUNTIFS('Daily Tracker'!$A$2:$A$188,"&gt;="&amp;A23,'Daily Tracker'!$A$2:$A$188,"&lt;="&amp;B23,'Daily Tracker'!$Z$2:$Z$188,"Yes")</f>
        <v>0</v>
      </c>
      <c r="D23" s="3">
        <f>COUNTIFS('Daily Tracker'!$A$2:$A$188,"&gt;="&amp;A23,'Daily Tracker'!$A$2:$A$188,"&lt;="&amp;B23,'Daily Tracker'!$AE$2:$AE$188,"Green")</f>
        <v>0</v>
      </c>
      <c r="E23" s="3">
        <f>COUNTIFS('Daily Tracker'!$A$2:$A$188,"&gt;="&amp;A23,'Daily Tracker'!$A$2:$A$188,"&lt;="&amp;B23,'Daily Tracker'!$AE$2:$AE$188,"Yellow")</f>
        <v>0</v>
      </c>
      <c r="F23" s="3">
        <f>COUNTIFS('Daily Tracker'!$A$2:$A$188,"&gt;="&amp;A23,'Daily Tracker'!$A$2:$A$188,"&lt;="&amp;B23,'Daily Tracker'!$AE$2:$AE$188,"Grey")</f>
        <v>0</v>
      </c>
      <c r="G23" s="3">
        <f>COUNTIFS('Daily Tracker'!$A$2:$A$188,"&gt;="&amp;A23,'Daily Tracker'!$A$2:$A$188,"&lt;="&amp;B23,'Daily Tracker'!$AH$2:$AH$188,"ALERT")</f>
        <v>0</v>
      </c>
      <c r="H23" s="6" t="str">
        <f>IF(C23=0,"",AVERAGEIFS('Daily Tracker'!$AB$2:$AB$188,'Daily Tracker'!$A$2:$A$188,"&gt;="&amp;A23,'Daily Tracker'!$A$2:$A$188,"&lt;="&amp;B23,'Daily Tracker'!$Z$2:$Z$188,"Yes"))</f>
        <v/>
      </c>
      <c r="I23" s="5" t="str">
        <f>IF(C23=0,"",AVERAGEIFS('Daily Tracker'!$AI$2:$AI$188,'Daily Tracker'!$A$2:$A$188,"&gt;="&amp;A23,'Daily Tracker'!$A$2:$A$188,"&lt;="&amp;B23,'Daily Tracker'!$Z$2:$Z$188,"Yes"))</f>
        <v/>
      </c>
      <c r="J23" s="7" t="str">
        <f>IF(C23=0,"",AVERAGEIFS('Daily Tracker'!$E$2:$E$188,'Daily Tracker'!$A$2:$A$188,"&gt;="&amp;A23,'Daily Tracker'!$A$2:$A$188,"&lt;="&amp;B23,'Daily Tracker'!$Z$2:$Z$188,"Yes"))</f>
        <v/>
      </c>
    </row>
    <row r="24" spans="1:10" x14ac:dyDescent="0.3">
      <c r="A24" s="2">
        <v>46216</v>
      </c>
      <c r="B24" s="2">
        <v>46222</v>
      </c>
      <c r="C24" s="3">
        <f>COUNTIFS('Daily Tracker'!$A$2:$A$188,"&gt;="&amp;A24,'Daily Tracker'!$A$2:$A$188,"&lt;="&amp;B24,'Daily Tracker'!$Z$2:$Z$188,"Yes")</f>
        <v>0</v>
      </c>
      <c r="D24" s="3">
        <f>COUNTIFS('Daily Tracker'!$A$2:$A$188,"&gt;="&amp;A24,'Daily Tracker'!$A$2:$A$188,"&lt;="&amp;B24,'Daily Tracker'!$AE$2:$AE$188,"Green")</f>
        <v>0</v>
      </c>
      <c r="E24" s="3">
        <f>COUNTIFS('Daily Tracker'!$A$2:$A$188,"&gt;="&amp;A24,'Daily Tracker'!$A$2:$A$188,"&lt;="&amp;B24,'Daily Tracker'!$AE$2:$AE$188,"Yellow")</f>
        <v>0</v>
      </c>
      <c r="F24" s="3">
        <f>COUNTIFS('Daily Tracker'!$A$2:$A$188,"&gt;="&amp;A24,'Daily Tracker'!$A$2:$A$188,"&lt;="&amp;B24,'Daily Tracker'!$AE$2:$AE$188,"Grey")</f>
        <v>0</v>
      </c>
      <c r="G24" s="3">
        <f>COUNTIFS('Daily Tracker'!$A$2:$A$188,"&gt;="&amp;A24,'Daily Tracker'!$A$2:$A$188,"&lt;="&amp;B24,'Daily Tracker'!$AH$2:$AH$188,"ALERT")</f>
        <v>0</v>
      </c>
      <c r="H24" s="6" t="str">
        <f>IF(C24=0,"",AVERAGEIFS('Daily Tracker'!$AB$2:$AB$188,'Daily Tracker'!$A$2:$A$188,"&gt;="&amp;A24,'Daily Tracker'!$A$2:$A$188,"&lt;="&amp;B24,'Daily Tracker'!$Z$2:$Z$188,"Yes"))</f>
        <v/>
      </c>
      <c r="I24" s="5" t="str">
        <f>IF(C24=0,"",AVERAGEIFS('Daily Tracker'!$AI$2:$AI$188,'Daily Tracker'!$A$2:$A$188,"&gt;="&amp;A24,'Daily Tracker'!$A$2:$A$188,"&lt;="&amp;B24,'Daily Tracker'!$Z$2:$Z$188,"Yes"))</f>
        <v/>
      </c>
      <c r="J24" s="7" t="str">
        <f>IF(C24=0,"",AVERAGEIFS('Daily Tracker'!$E$2:$E$188,'Daily Tracker'!$A$2:$A$188,"&gt;="&amp;A24,'Daily Tracker'!$A$2:$A$188,"&lt;="&amp;B24,'Daily Tracker'!$Z$2:$Z$188,"Yes"))</f>
        <v/>
      </c>
    </row>
    <row r="25" spans="1:10" x14ac:dyDescent="0.3">
      <c r="A25" s="2">
        <v>46223</v>
      </c>
      <c r="B25" s="2">
        <v>46229</v>
      </c>
      <c r="C25" s="3">
        <f>COUNTIFS('Daily Tracker'!$A$2:$A$188,"&gt;="&amp;A25,'Daily Tracker'!$A$2:$A$188,"&lt;="&amp;B25,'Daily Tracker'!$Z$2:$Z$188,"Yes")</f>
        <v>0</v>
      </c>
      <c r="D25" s="3">
        <f>COUNTIFS('Daily Tracker'!$A$2:$A$188,"&gt;="&amp;A25,'Daily Tracker'!$A$2:$A$188,"&lt;="&amp;B25,'Daily Tracker'!$AE$2:$AE$188,"Green")</f>
        <v>0</v>
      </c>
      <c r="E25" s="3">
        <f>COUNTIFS('Daily Tracker'!$A$2:$A$188,"&gt;="&amp;A25,'Daily Tracker'!$A$2:$A$188,"&lt;="&amp;B25,'Daily Tracker'!$AE$2:$AE$188,"Yellow")</f>
        <v>0</v>
      </c>
      <c r="F25" s="3">
        <f>COUNTIFS('Daily Tracker'!$A$2:$A$188,"&gt;="&amp;A25,'Daily Tracker'!$A$2:$A$188,"&lt;="&amp;B25,'Daily Tracker'!$AE$2:$AE$188,"Grey")</f>
        <v>0</v>
      </c>
      <c r="G25" s="3">
        <f>COUNTIFS('Daily Tracker'!$A$2:$A$188,"&gt;="&amp;A25,'Daily Tracker'!$A$2:$A$188,"&lt;="&amp;B25,'Daily Tracker'!$AH$2:$AH$188,"ALERT")</f>
        <v>0</v>
      </c>
      <c r="H25" s="6" t="str">
        <f>IF(C25=0,"",AVERAGEIFS('Daily Tracker'!$AB$2:$AB$188,'Daily Tracker'!$A$2:$A$188,"&gt;="&amp;A25,'Daily Tracker'!$A$2:$A$188,"&lt;="&amp;B25,'Daily Tracker'!$Z$2:$Z$188,"Yes"))</f>
        <v/>
      </c>
      <c r="I25" s="5" t="str">
        <f>IF(C25=0,"",AVERAGEIFS('Daily Tracker'!$AI$2:$AI$188,'Daily Tracker'!$A$2:$A$188,"&gt;="&amp;A25,'Daily Tracker'!$A$2:$A$188,"&lt;="&amp;B25,'Daily Tracker'!$Z$2:$Z$188,"Yes"))</f>
        <v/>
      </c>
      <c r="J25" s="7" t="str">
        <f>IF(C25=0,"",AVERAGEIFS('Daily Tracker'!$E$2:$E$188,'Daily Tracker'!$A$2:$A$188,"&gt;="&amp;A25,'Daily Tracker'!$A$2:$A$188,"&lt;="&amp;B25,'Daily Tracker'!$Z$2:$Z$188,"Yes"))</f>
        <v/>
      </c>
    </row>
    <row r="26" spans="1:10" x14ac:dyDescent="0.3">
      <c r="A26" s="2">
        <v>46230</v>
      </c>
      <c r="B26" s="2">
        <v>46236</v>
      </c>
      <c r="C26" s="3">
        <f>COUNTIFS('Daily Tracker'!$A$2:$A$188,"&gt;="&amp;A26,'Daily Tracker'!$A$2:$A$188,"&lt;="&amp;B26,'Daily Tracker'!$Z$2:$Z$188,"Yes")</f>
        <v>0</v>
      </c>
      <c r="D26" s="3">
        <f>COUNTIFS('Daily Tracker'!$A$2:$A$188,"&gt;="&amp;A26,'Daily Tracker'!$A$2:$A$188,"&lt;="&amp;B26,'Daily Tracker'!$AE$2:$AE$188,"Green")</f>
        <v>0</v>
      </c>
      <c r="E26" s="3">
        <f>COUNTIFS('Daily Tracker'!$A$2:$A$188,"&gt;="&amp;A26,'Daily Tracker'!$A$2:$A$188,"&lt;="&amp;B26,'Daily Tracker'!$AE$2:$AE$188,"Yellow")</f>
        <v>0</v>
      </c>
      <c r="F26" s="3">
        <f>COUNTIFS('Daily Tracker'!$A$2:$A$188,"&gt;="&amp;A26,'Daily Tracker'!$A$2:$A$188,"&lt;="&amp;B26,'Daily Tracker'!$AE$2:$AE$188,"Grey")</f>
        <v>0</v>
      </c>
      <c r="G26" s="3">
        <f>COUNTIFS('Daily Tracker'!$A$2:$A$188,"&gt;="&amp;A26,'Daily Tracker'!$A$2:$A$188,"&lt;="&amp;B26,'Daily Tracker'!$AH$2:$AH$188,"ALERT")</f>
        <v>0</v>
      </c>
      <c r="H26" s="6" t="str">
        <f>IF(C26=0,"",AVERAGEIFS('Daily Tracker'!$AB$2:$AB$188,'Daily Tracker'!$A$2:$A$188,"&gt;="&amp;A26,'Daily Tracker'!$A$2:$A$188,"&lt;="&amp;B26,'Daily Tracker'!$Z$2:$Z$188,"Yes"))</f>
        <v/>
      </c>
      <c r="I26" s="5" t="str">
        <f>IF(C26=0,"",AVERAGEIFS('Daily Tracker'!$AI$2:$AI$188,'Daily Tracker'!$A$2:$A$188,"&gt;="&amp;A26,'Daily Tracker'!$A$2:$A$188,"&lt;="&amp;B26,'Daily Tracker'!$Z$2:$Z$188,"Yes"))</f>
        <v/>
      </c>
      <c r="J26" s="7" t="str">
        <f>IF(C26=0,"",AVERAGEIFS('Daily Tracker'!$E$2:$E$188,'Daily Tracker'!$A$2:$A$188,"&gt;="&amp;A26,'Daily Tracker'!$A$2:$A$188,"&lt;="&amp;B26,'Daily Tracker'!$Z$2:$Z$188,"Yes"))</f>
        <v/>
      </c>
    </row>
    <row r="27" spans="1:10" x14ac:dyDescent="0.3">
      <c r="A27" s="2">
        <v>46237</v>
      </c>
      <c r="B27" s="2">
        <v>46243</v>
      </c>
      <c r="C27" s="3">
        <f>COUNTIFS('Daily Tracker'!$A$2:$A$188,"&gt;="&amp;A27,'Daily Tracker'!$A$2:$A$188,"&lt;="&amp;B27,'Daily Tracker'!$Z$2:$Z$188,"Yes")</f>
        <v>0</v>
      </c>
      <c r="D27" s="3">
        <f>COUNTIFS('Daily Tracker'!$A$2:$A$188,"&gt;="&amp;A27,'Daily Tracker'!$A$2:$A$188,"&lt;="&amp;B27,'Daily Tracker'!$AE$2:$AE$188,"Green")</f>
        <v>0</v>
      </c>
      <c r="E27" s="3">
        <f>COUNTIFS('Daily Tracker'!$A$2:$A$188,"&gt;="&amp;A27,'Daily Tracker'!$A$2:$A$188,"&lt;="&amp;B27,'Daily Tracker'!$AE$2:$AE$188,"Yellow")</f>
        <v>0</v>
      </c>
      <c r="F27" s="3">
        <f>COUNTIFS('Daily Tracker'!$A$2:$A$188,"&gt;="&amp;A27,'Daily Tracker'!$A$2:$A$188,"&lt;="&amp;B27,'Daily Tracker'!$AE$2:$AE$188,"Grey")</f>
        <v>0</v>
      </c>
      <c r="G27" s="3">
        <f>COUNTIFS('Daily Tracker'!$A$2:$A$188,"&gt;="&amp;A27,'Daily Tracker'!$A$2:$A$188,"&lt;="&amp;B27,'Daily Tracker'!$AH$2:$AH$188,"ALERT")</f>
        <v>0</v>
      </c>
      <c r="H27" s="6" t="str">
        <f>IF(C27=0,"",AVERAGEIFS('Daily Tracker'!$AB$2:$AB$188,'Daily Tracker'!$A$2:$A$188,"&gt;="&amp;A27,'Daily Tracker'!$A$2:$A$188,"&lt;="&amp;B27,'Daily Tracker'!$Z$2:$Z$188,"Yes"))</f>
        <v/>
      </c>
      <c r="I27" s="5" t="str">
        <f>IF(C27=0,"",AVERAGEIFS('Daily Tracker'!$AI$2:$AI$188,'Daily Tracker'!$A$2:$A$188,"&gt;="&amp;A27,'Daily Tracker'!$A$2:$A$188,"&lt;="&amp;B27,'Daily Tracker'!$Z$2:$Z$188,"Yes"))</f>
        <v/>
      </c>
      <c r="J27" s="7" t="str">
        <f>IF(C27=0,"",AVERAGEIFS('Daily Tracker'!$E$2:$E$188,'Daily Tracker'!$A$2:$A$188,"&gt;="&amp;A27,'Daily Tracker'!$A$2:$A$188,"&lt;="&amp;B27,'Daily Tracker'!$Z$2:$Z$188,"Yes"))</f>
        <v/>
      </c>
    </row>
    <row r="28" spans="1:10" x14ac:dyDescent="0.3">
      <c r="A28" s="2">
        <v>46244</v>
      </c>
      <c r="B28" s="2">
        <v>46248</v>
      </c>
      <c r="C28" s="3">
        <f>COUNTIFS('Daily Tracker'!$A$2:$A$188,"&gt;="&amp;A28,'Daily Tracker'!$A$2:$A$188,"&lt;="&amp;B28,'Daily Tracker'!$Z$2:$Z$188,"Yes")</f>
        <v>0</v>
      </c>
      <c r="D28" s="3">
        <f>COUNTIFS('Daily Tracker'!$A$2:$A$188,"&gt;="&amp;A28,'Daily Tracker'!$A$2:$A$188,"&lt;="&amp;B28,'Daily Tracker'!$AE$2:$AE$188,"Green")</f>
        <v>0</v>
      </c>
      <c r="E28" s="3">
        <f>COUNTIFS('Daily Tracker'!$A$2:$A$188,"&gt;="&amp;A28,'Daily Tracker'!$A$2:$A$188,"&lt;="&amp;B28,'Daily Tracker'!$AE$2:$AE$188,"Yellow")</f>
        <v>0</v>
      </c>
      <c r="F28" s="3">
        <f>COUNTIFS('Daily Tracker'!$A$2:$A$188,"&gt;="&amp;A28,'Daily Tracker'!$A$2:$A$188,"&lt;="&amp;B28,'Daily Tracker'!$AE$2:$AE$188,"Grey")</f>
        <v>0</v>
      </c>
      <c r="G28" s="3">
        <f>COUNTIFS('Daily Tracker'!$A$2:$A$188,"&gt;="&amp;A28,'Daily Tracker'!$A$2:$A$188,"&lt;="&amp;B28,'Daily Tracker'!$AH$2:$AH$188,"ALERT")</f>
        <v>0</v>
      </c>
      <c r="H28" s="6" t="str">
        <f>IF(C28=0,"",AVERAGEIFS('Daily Tracker'!$AB$2:$AB$188,'Daily Tracker'!$A$2:$A$188,"&gt;="&amp;A28,'Daily Tracker'!$A$2:$A$188,"&lt;="&amp;B28,'Daily Tracker'!$Z$2:$Z$188,"Yes"))</f>
        <v/>
      </c>
      <c r="I28" s="5" t="str">
        <f>IF(C28=0,"",AVERAGEIFS('Daily Tracker'!$AI$2:$AI$188,'Daily Tracker'!$A$2:$A$188,"&gt;="&amp;A28,'Daily Tracker'!$A$2:$A$188,"&lt;="&amp;B28,'Daily Tracker'!$Z$2:$Z$188,"Yes"))</f>
        <v/>
      </c>
      <c r="J28" s="7" t="str">
        <f>IF(C28=0,"",AVERAGEIFS('Daily Tracker'!$E$2:$E$188,'Daily Tracker'!$A$2:$A$188,"&gt;="&amp;A28,'Daily Tracker'!$A$2:$A$188,"&lt;="&amp;B28,'Daily Tracker'!$Z$2:$Z$188,"Yes"))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8"/>
  <sheetViews>
    <sheetView showGridLines="0" workbookViewId="0"/>
  </sheetViews>
  <sheetFormatPr baseColWidth="10" defaultColWidth="8.88671875" defaultRowHeight="14.4" x14ac:dyDescent="0.3"/>
  <cols>
    <col min="1" max="4" width="12" customWidth="1"/>
    <col min="5" max="5" width="11" customWidth="1"/>
    <col min="6" max="6" width="12" customWidth="1"/>
    <col min="7" max="7" width="10" customWidth="1"/>
    <col min="8" max="8" width="8" customWidth="1"/>
    <col min="9" max="9" width="20" customWidth="1"/>
    <col min="10" max="12" width="18" customWidth="1"/>
  </cols>
  <sheetData>
    <row r="1" spans="1:12" ht="30" customHeight="1" x14ac:dyDescent="0.3">
      <c r="A1" s="1" t="s">
        <v>49</v>
      </c>
      <c r="B1" s="1" t="s">
        <v>50</v>
      </c>
      <c r="C1" s="1" t="s">
        <v>51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52</v>
      </c>
    </row>
    <row r="2" spans="1:12" x14ac:dyDescent="0.3">
      <c r="A2" s="3" t="s">
        <v>53</v>
      </c>
      <c r="B2" s="2">
        <v>46062</v>
      </c>
      <c r="C2" s="2">
        <v>46081</v>
      </c>
      <c r="D2" s="3">
        <f>COUNTIFS('Daily Tracker'!$A$2:$A$188,"&gt;="&amp;B2,'Daily Tracker'!$A$2:$A$188,"&lt;="&amp;C2,'Daily Tracker'!$Z$2:$Z$188,"Yes")</f>
        <v>0</v>
      </c>
      <c r="E2" s="3">
        <f>COUNTIFS('Daily Tracker'!$A$2:$A$188,"&gt;="&amp;B2,'Daily Tracker'!$A$2:$A$188,"&lt;="&amp;C2,'Daily Tracker'!$AE$2:$AE$188,"Green")</f>
        <v>0</v>
      </c>
      <c r="F2" s="3">
        <f>COUNTIFS('Daily Tracker'!$A$2:$A$188,"&gt;="&amp;B2,'Daily Tracker'!$A$2:$A$188,"&lt;="&amp;C2,'Daily Tracker'!$AE$2:$AE$188,"Yellow")</f>
        <v>0</v>
      </c>
      <c r="G2" s="3">
        <f>COUNTIFS('Daily Tracker'!$A$2:$A$188,"&gt;="&amp;B2,'Daily Tracker'!$A$2:$A$188,"&lt;="&amp;C2,'Daily Tracker'!$AE$2:$AE$188,"Grey")</f>
        <v>0</v>
      </c>
      <c r="H2" s="3">
        <f>COUNTIFS('Daily Tracker'!$A$2:$A$188,"&gt;="&amp;B2,'Daily Tracker'!$A$2:$A$188,"&lt;="&amp;C2,'Daily Tracker'!$AH$2:$AH$188,"ALERT")</f>
        <v>0</v>
      </c>
      <c r="I2" s="6" t="str">
        <f>IF(D2=0,"",AVERAGEIFS('Daily Tracker'!$AB$2:$AB$188,'Daily Tracker'!$A$2:$A$188,"&gt;="&amp;B2,'Daily Tracker'!$A$2:$A$188,"&lt;="&amp;C2,'Daily Tracker'!$Z$2:$Z$188,"Yes"))</f>
        <v/>
      </c>
      <c r="J2" s="5" t="str">
        <f>IF(D2=0,"",AVERAGEIFS('Daily Tracker'!$AI$2:$AI$188,'Daily Tracker'!$A$2:$A$188,"&gt;="&amp;B2,'Daily Tracker'!$A$2:$A$188,"&lt;="&amp;C2,'Daily Tracker'!$Z$2:$Z$188,"Yes"))</f>
        <v/>
      </c>
      <c r="K2" s="7" t="str">
        <f>IF(D2=0,"",AVERAGEIFS('Daily Tracker'!$E$2:$E$188,'Daily Tracker'!$A$2:$A$188,"&gt;="&amp;B2,'Daily Tracker'!$A$2:$A$188,"&lt;="&amp;C2,'Daily Tracker'!$Z$2:$Z$188,"Yes"))</f>
        <v/>
      </c>
      <c r="L2" s="4" t="s">
        <v>54</v>
      </c>
    </row>
    <row r="3" spans="1:12" x14ac:dyDescent="0.3">
      <c r="A3" s="3" t="s">
        <v>55</v>
      </c>
      <c r="B3" s="2">
        <v>46082</v>
      </c>
      <c r="C3" s="2">
        <v>46112</v>
      </c>
      <c r="D3" s="3">
        <f>COUNTIFS('Daily Tracker'!$A$2:$A$188,"&gt;="&amp;B3,'Daily Tracker'!$A$2:$A$188,"&lt;="&amp;C3,'Daily Tracker'!$Z$2:$Z$188,"Yes")</f>
        <v>0</v>
      </c>
      <c r="E3" s="3">
        <f>COUNTIFS('Daily Tracker'!$A$2:$A$188,"&gt;="&amp;B3,'Daily Tracker'!$A$2:$A$188,"&lt;="&amp;C3,'Daily Tracker'!$AE$2:$AE$188,"Green")</f>
        <v>0</v>
      </c>
      <c r="F3" s="3">
        <f>COUNTIFS('Daily Tracker'!$A$2:$A$188,"&gt;="&amp;B3,'Daily Tracker'!$A$2:$A$188,"&lt;="&amp;C3,'Daily Tracker'!$AE$2:$AE$188,"Yellow")</f>
        <v>0</v>
      </c>
      <c r="G3" s="3">
        <f>COUNTIFS('Daily Tracker'!$A$2:$A$188,"&gt;="&amp;B3,'Daily Tracker'!$A$2:$A$188,"&lt;="&amp;C3,'Daily Tracker'!$AE$2:$AE$188,"Grey")</f>
        <v>0</v>
      </c>
      <c r="H3" s="3">
        <f>COUNTIFS('Daily Tracker'!$A$2:$A$188,"&gt;="&amp;B3,'Daily Tracker'!$A$2:$A$188,"&lt;="&amp;C3,'Daily Tracker'!$AH$2:$AH$188,"ALERT")</f>
        <v>0</v>
      </c>
      <c r="I3" s="6" t="str">
        <f>IF(D3=0,"",AVERAGEIFS('Daily Tracker'!$AB$2:$AB$188,'Daily Tracker'!$A$2:$A$188,"&gt;="&amp;B3,'Daily Tracker'!$A$2:$A$188,"&lt;="&amp;C3,'Daily Tracker'!$Z$2:$Z$188,"Yes"))</f>
        <v/>
      </c>
      <c r="J3" s="5" t="str">
        <f>IF(D3=0,"",AVERAGEIFS('Daily Tracker'!$AI$2:$AI$188,'Daily Tracker'!$A$2:$A$188,"&gt;="&amp;B3,'Daily Tracker'!$A$2:$A$188,"&lt;="&amp;C3,'Daily Tracker'!$Z$2:$Z$188,"Yes"))</f>
        <v/>
      </c>
      <c r="K3" s="7" t="str">
        <f>IF(D3=0,"",AVERAGEIFS('Daily Tracker'!$E$2:$E$188,'Daily Tracker'!$A$2:$A$188,"&gt;="&amp;B3,'Daily Tracker'!$A$2:$A$188,"&lt;="&amp;C3,'Daily Tracker'!$Z$2:$Z$188,"Yes"))</f>
        <v/>
      </c>
      <c r="L3" s="4" t="s">
        <v>54</v>
      </c>
    </row>
    <row r="4" spans="1:12" x14ac:dyDescent="0.3">
      <c r="A4" s="3" t="s">
        <v>56</v>
      </c>
      <c r="B4" s="2">
        <v>46113</v>
      </c>
      <c r="C4" s="2">
        <v>46142</v>
      </c>
      <c r="D4" s="3">
        <f>COUNTIFS('Daily Tracker'!$A$2:$A$188,"&gt;="&amp;B4,'Daily Tracker'!$A$2:$A$188,"&lt;="&amp;C4,'Daily Tracker'!$Z$2:$Z$188,"Yes")</f>
        <v>0</v>
      </c>
      <c r="E4" s="3">
        <f>COUNTIFS('Daily Tracker'!$A$2:$A$188,"&gt;="&amp;B4,'Daily Tracker'!$A$2:$A$188,"&lt;="&amp;C4,'Daily Tracker'!$AE$2:$AE$188,"Green")</f>
        <v>0</v>
      </c>
      <c r="F4" s="3">
        <f>COUNTIFS('Daily Tracker'!$A$2:$A$188,"&gt;="&amp;B4,'Daily Tracker'!$A$2:$A$188,"&lt;="&amp;C4,'Daily Tracker'!$AE$2:$AE$188,"Yellow")</f>
        <v>0</v>
      </c>
      <c r="G4" s="3">
        <f>COUNTIFS('Daily Tracker'!$A$2:$A$188,"&gt;="&amp;B4,'Daily Tracker'!$A$2:$A$188,"&lt;="&amp;C4,'Daily Tracker'!$AE$2:$AE$188,"Grey")</f>
        <v>0</v>
      </c>
      <c r="H4" s="3">
        <f>COUNTIFS('Daily Tracker'!$A$2:$A$188,"&gt;="&amp;B4,'Daily Tracker'!$A$2:$A$188,"&lt;="&amp;C4,'Daily Tracker'!$AH$2:$AH$188,"ALERT")</f>
        <v>0</v>
      </c>
      <c r="I4" s="6" t="str">
        <f>IF(D4=0,"",AVERAGEIFS('Daily Tracker'!$AB$2:$AB$188,'Daily Tracker'!$A$2:$A$188,"&gt;="&amp;B4,'Daily Tracker'!$A$2:$A$188,"&lt;="&amp;C4,'Daily Tracker'!$Z$2:$Z$188,"Yes"))</f>
        <v/>
      </c>
      <c r="J4" s="5" t="str">
        <f>IF(D4=0,"",AVERAGEIFS('Daily Tracker'!$AI$2:$AI$188,'Daily Tracker'!$A$2:$A$188,"&gt;="&amp;B4,'Daily Tracker'!$A$2:$A$188,"&lt;="&amp;C4,'Daily Tracker'!$Z$2:$Z$188,"Yes"))</f>
        <v/>
      </c>
      <c r="K4" s="7" t="str">
        <f>IF(D4=0,"",AVERAGEIFS('Daily Tracker'!$E$2:$E$188,'Daily Tracker'!$A$2:$A$188,"&gt;="&amp;B4,'Daily Tracker'!$A$2:$A$188,"&lt;="&amp;C4,'Daily Tracker'!$Z$2:$Z$188,"Yes"))</f>
        <v/>
      </c>
      <c r="L4" s="4" t="s">
        <v>54</v>
      </c>
    </row>
    <row r="5" spans="1:12" x14ac:dyDescent="0.3">
      <c r="A5" s="3" t="s">
        <v>57</v>
      </c>
      <c r="B5" s="2">
        <v>46143</v>
      </c>
      <c r="C5" s="2">
        <v>46173</v>
      </c>
      <c r="D5" s="3">
        <f>COUNTIFS('Daily Tracker'!$A$2:$A$188,"&gt;="&amp;B5,'Daily Tracker'!$A$2:$A$188,"&lt;="&amp;C5,'Daily Tracker'!$Z$2:$Z$188,"Yes")</f>
        <v>0</v>
      </c>
      <c r="E5" s="3">
        <f>COUNTIFS('Daily Tracker'!$A$2:$A$188,"&gt;="&amp;B5,'Daily Tracker'!$A$2:$A$188,"&lt;="&amp;C5,'Daily Tracker'!$AE$2:$AE$188,"Green")</f>
        <v>0</v>
      </c>
      <c r="F5" s="3">
        <f>COUNTIFS('Daily Tracker'!$A$2:$A$188,"&gt;="&amp;B5,'Daily Tracker'!$A$2:$A$188,"&lt;="&amp;C5,'Daily Tracker'!$AE$2:$AE$188,"Yellow")</f>
        <v>0</v>
      </c>
      <c r="G5" s="3">
        <f>COUNTIFS('Daily Tracker'!$A$2:$A$188,"&gt;="&amp;B5,'Daily Tracker'!$A$2:$A$188,"&lt;="&amp;C5,'Daily Tracker'!$AE$2:$AE$188,"Grey")</f>
        <v>0</v>
      </c>
      <c r="H5" s="3">
        <f>COUNTIFS('Daily Tracker'!$A$2:$A$188,"&gt;="&amp;B5,'Daily Tracker'!$A$2:$A$188,"&lt;="&amp;C5,'Daily Tracker'!$AH$2:$AH$188,"ALERT")</f>
        <v>0</v>
      </c>
      <c r="I5" s="6" t="str">
        <f>IF(D5=0,"",AVERAGEIFS('Daily Tracker'!$AB$2:$AB$188,'Daily Tracker'!$A$2:$A$188,"&gt;="&amp;B5,'Daily Tracker'!$A$2:$A$188,"&lt;="&amp;C5,'Daily Tracker'!$Z$2:$Z$188,"Yes"))</f>
        <v/>
      </c>
      <c r="J5" s="5" t="str">
        <f>IF(D5=0,"",AVERAGEIFS('Daily Tracker'!$AI$2:$AI$188,'Daily Tracker'!$A$2:$A$188,"&gt;="&amp;B5,'Daily Tracker'!$A$2:$A$188,"&lt;="&amp;C5,'Daily Tracker'!$Z$2:$Z$188,"Yes"))</f>
        <v/>
      </c>
      <c r="K5" s="7" t="str">
        <f>IF(D5=0,"",AVERAGEIFS('Daily Tracker'!$E$2:$E$188,'Daily Tracker'!$A$2:$A$188,"&gt;="&amp;B5,'Daily Tracker'!$A$2:$A$188,"&lt;="&amp;C5,'Daily Tracker'!$Z$2:$Z$188,"Yes"))</f>
        <v/>
      </c>
      <c r="L5" s="4" t="s">
        <v>54</v>
      </c>
    </row>
    <row r="6" spans="1:12" x14ac:dyDescent="0.3">
      <c r="A6" s="3" t="s">
        <v>58</v>
      </c>
      <c r="B6" s="2">
        <v>46174</v>
      </c>
      <c r="C6" s="2">
        <v>46203</v>
      </c>
      <c r="D6" s="3">
        <f>COUNTIFS('Daily Tracker'!$A$2:$A$188,"&gt;="&amp;B6,'Daily Tracker'!$A$2:$A$188,"&lt;="&amp;C6,'Daily Tracker'!$Z$2:$Z$188,"Yes")</f>
        <v>0</v>
      </c>
      <c r="E6" s="3">
        <f>COUNTIFS('Daily Tracker'!$A$2:$A$188,"&gt;="&amp;B6,'Daily Tracker'!$A$2:$A$188,"&lt;="&amp;C6,'Daily Tracker'!$AE$2:$AE$188,"Green")</f>
        <v>0</v>
      </c>
      <c r="F6" s="3">
        <f>COUNTIFS('Daily Tracker'!$A$2:$A$188,"&gt;="&amp;B6,'Daily Tracker'!$A$2:$A$188,"&lt;="&amp;C6,'Daily Tracker'!$AE$2:$AE$188,"Yellow")</f>
        <v>0</v>
      </c>
      <c r="G6" s="3">
        <f>COUNTIFS('Daily Tracker'!$A$2:$A$188,"&gt;="&amp;B6,'Daily Tracker'!$A$2:$A$188,"&lt;="&amp;C6,'Daily Tracker'!$AE$2:$AE$188,"Grey")</f>
        <v>0</v>
      </c>
      <c r="H6" s="3">
        <f>COUNTIFS('Daily Tracker'!$A$2:$A$188,"&gt;="&amp;B6,'Daily Tracker'!$A$2:$A$188,"&lt;="&amp;C6,'Daily Tracker'!$AH$2:$AH$188,"ALERT")</f>
        <v>0</v>
      </c>
      <c r="I6" s="6" t="str">
        <f>IF(D6=0,"",AVERAGEIFS('Daily Tracker'!$AB$2:$AB$188,'Daily Tracker'!$A$2:$A$188,"&gt;="&amp;B6,'Daily Tracker'!$A$2:$A$188,"&lt;="&amp;C6,'Daily Tracker'!$Z$2:$Z$188,"Yes"))</f>
        <v/>
      </c>
      <c r="J6" s="5" t="str">
        <f>IF(D6=0,"",AVERAGEIFS('Daily Tracker'!$AI$2:$AI$188,'Daily Tracker'!$A$2:$A$188,"&gt;="&amp;B6,'Daily Tracker'!$A$2:$A$188,"&lt;="&amp;C6,'Daily Tracker'!$Z$2:$Z$188,"Yes"))</f>
        <v/>
      </c>
      <c r="K6" s="7" t="str">
        <f>IF(D6=0,"",AVERAGEIFS('Daily Tracker'!$E$2:$E$188,'Daily Tracker'!$A$2:$A$188,"&gt;="&amp;B6,'Daily Tracker'!$A$2:$A$188,"&lt;="&amp;C6,'Daily Tracker'!$Z$2:$Z$188,"Yes"))</f>
        <v/>
      </c>
      <c r="L6" s="4" t="s">
        <v>54</v>
      </c>
    </row>
    <row r="7" spans="1:12" x14ac:dyDescent="0.3">
      <c r="A7" s="3" t="s">
        <v>59</v>
      </c>
      <c r="B7" s="2">
        <v>46204</v>
      </c>
      <c r="C7" s="2">
        <v>46234</v>
      </c>
      <c r="D7" s="3">
        <f>COUNTIFS('Daily Tracker'!$A$2:$A$188,"&gt;="&amp;B7,'Daily Tracker'!$A$2:$A$188,"&lt;="&amp;C7,'Daily Tracker'!$Z$2:$Z$188,"Yes")</f>
        <v>0</v>
      </c>
      <c r="E7" s="3">
        <f>COUNTIFS('Daily Tracker'!$A$2:$A$188,"&gt;="&amp;B7,'Daily Tracker'!$A$2:$A$188,"&lt;="&amp;C7,'Daily Tracker'!$AE$2:$AE$188,"Green")</f>
        <v>0</v>
      </c>
      <c r="F7" s="3">
        <f>COUNTIFS('Daily Tracker'!$A$2:$A$188,"&gt;="&amp;B7,'Daily Tracker'!$A$2:$A$188,"&lt;="&amp;C7,'Daily Tracker'!$AE$2:$AE$188,"Yellow")</f>
        <v>0</v>
      </c>
      <c r="G7" s="3">
        <f>COUNTIFS('Daily Tracker'!$A$2:$A$188,"&gt;="&amp;B7,'Daily Tracker'!$A$2:$A$188,"&lt;="&amp;C7,'Daily Tracker'!$AE$2:$AE$188,"Grey")</f>
        <v>0</v>
      </c>
      <c r="H7" s="3">
        <f>COUNTIFS('Daily Tracker'!$A$2:$A$188,"&gt;="&amp;B7,'Daily Tracker'!$A$2:$A$188,"&lt;="&amp;C7,'Daily Tracker'!$AH$2:$AH$188,"ALERT")</f>
        <v>0</v>
      </c>
      <c r="I7" s="6" t="str">
        <f>IF(D7=0,"",AVERAGEIFS('Daily Tracker'!$AB$2:$AB$188,'Daily Tracker'!$A$2:$A$188,"&gt;="&amp;B7,'Daily Tracker'!$A$2:$A$188,"&lt;="&amp;C7,'Daily Tracker'!$Z$2:$Z$188,"Yes"))</f>
        <v/>
      </c>
      <c r="J7" s="5" t="str">
        <f>IF(D7=0,"",AVERAGEIFS('Daily Tracker'!$AI$2:$AI$188,'Daily Tracker'!$A$2:$A$188,"&gt;="&amp;B7,'Daily Tracker'!$A$2:$A$188,"&lt;="&amp;C7,'Daily Tracker'!$Z$2:$Z$188,"Yes"))</f>
        <v/>
      </c>
      <c r="K7" s="7" t="str">
        <f>IF(D7=0,"",AVERAGEIFS('Daily Tracker'!$E$2:$E$188,'Daily Tracker'!$A$2:$A$188,"&gt;="&amp;B7,'Daily Tracker'!$A$2:$A$188,"&lt;="&amp;C7,'Daily Tracker'!$Z$2:$Z$188,"Yes"))</f>
        <v/>
      </c>
      <c r="L7" s="4" t="s">
        <v>54</v>
      </c>
    </row>
    <row r="8" spans="1:12" x14ac:dyDescent="0.3">
      <c r="A8" s="3" t="s">
        <v>60</v>
      </c>
      <c r="B8" s="2">
        <v>46235</v>
      </c>
      <c r="C8" s="2">
        <v>46248</v>
      </c>
      <c r="D8" s="3">
        <f>COUNTIFS('Daily Tracker'!$A$2:$A$188,"&gt;="&amp;B8,'Daily Tracker'!$A$2:$A$188,"&lt;="&amp;C8,'Daily Tracker'!$Z$2:$Z$188,"Yes")</f>
        <v>0</v>
      </c>
      <c r="E8" s="3">
        <f>COUNTIFS('Daily Tracker'!$A$2:$A$188,"&gt;="&amp;B8,'Daily Tracker'!$A$2:$A$188,"&lt;="&amp;C8,'Daily Tracker'!$AE$2:$AE$188,"Green")</f>
        <v>0</v>
      </c>
      <c r="F8" s="3">
        <f>COUNTIFS('Daily Tracker'!$A$2:$A$188,"&gt;="&amp;B8,'Daily Tracker'!$A$2:$A$188,"&lt;="&amp;C8,'Daily Tracker'!$AE$2:$AE$188,"Yellow")</f>
        <v>0</v>
      </c>
      <c r="G8" s="3">
        <f>COUNTIFS('Daily Tracker'!$A$2:$A$188,"&gt;="&amp;B8,'Daily Tracker'!$A$2:$A$188,"&lt;="&amp;C8,'Daily Tracker'!$AE$2:$AE$188,"Grey")</f>
        <v>0</v>
      </c>
      <c r="H8" s="3">
        <f>COUNTIFS('Daily Tracker'!$A$2:$A$188,"&gt;="&amp;B8,'Daily Tracker'!$A$2:$A$188,"&lt;="&amp;C8,'Daily Tracker'!$AH$2:$AH$188,"ALERT")</f>
        <v>0</v>
      </c>
      <c r="I8" s="6" t="str">
        <f>IF(D8=0,"",AVERAGEIFS('Daily Tracker'!$AB$2:$AB$188,'Daily Tracker'!$A$2:$A$188,"&gt;="&amp;B8,'Daily Tracker'!$A$2:$A$188,"&lt;="&amp;C8,'Daily Tracker'!$Z$2:$Z$188,"Yes"))</f>
        <v/>
      </c>
      <c r="J8" s="5" t="str">
        <f>IF(D8=0,"",AVERAGEIFS('Daily Tracker'!$AI$2:$AI$188,'Daily Tracker'!$A$2:$A$188,"&gt;="&amp;B8,'Daily Tracker'!$A$2:$A$188,"&lt;="&amp;C8,'Daily Tracker'!$Z$2:$Z$188,"Yes"))</f>
        <v/>
      </c>
      <c r="K8" s="7" t="str">
        <f>IF(D8=0,"",AVERAGEIFS('Daily Tracker'!$E$2:$E$188,'Daily Tracker'!$A$2:$A$188,"&gt;="&amp;B8,'Daily Tracker'!$A$2:$A$188,"&lt;="&amp;C8,'Daily Tracker'!$Z$2:$Z$188,"Yes"))</f>
        <v/>
      </c>
      <c r="L8" s="4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3"/>
  <sheetViews>
    <sheetView showGridLines="0" workbookViewId="0">
      <selection sqref="A1:D1"/>
    </sheetView>
  </sheetViews>
  <sheetFormatPr baseColWidth="10" defaultColWidth="8.88671875" defaultRowHeight="14.4" x14ac:dyDescent="0.3"/>
  <cols>
    <col min="1" max="2" width="22" customWidth="1"/>
    <col min="3" max="4" width="18" customWidth="1"/>
  </cols>
  <sheetData>
    <row r="1" spans="1:4" ht="21" x14ac:dyDescent="0.4">
      <c r="A1" s="13" t="s">
        <v>61</v>
      </c>
      <c r="B1" s="14"/>
      <c r="C1" s="14"/>
      <c r="D1" s="14"/>
    </row>
    <row r="3" spans="1:4" ht="18" customHeight="1" x14ac:dyDescent="0.3">
      <c r="A3" s="8" t="s">
        <v>62</v>
      </c>
      <c r="B3" s="12" t="s">
        <v>63</v>
      </c>
      <c r="D3" s="9" t="s">
        <v>64</v>
      </c>
    </row>
    <row r="4" spans="1:4" ht="18" customHeight="1" x14ac:dyDescent="0.3">
      <c r="A4" s="8" t="s">
        <v>65</v>
      </c>
      <c r="B4" s="3">
        <f>COUNTIF('Daily Tracker'!$Z$2:$Z$188,"Yes")</f>
        <v>0</v>
      </c>
      <c r="C4" s="1" t="s">
        <v>66</v>
      </c>
      <c r="D4" s="1" t="s">
        <v>67</v>
      </c>
    </row>
    <row r="5" spans="1:4" ht="18" customHeight="1" x14ac:dyDescent="0.3">
      <c r="A5" s="8" t="s">
        <v>68</v>
      </c>
      <c r="B5" s="3">
        <f>COUNTIF('Daily Tracker'!$AE$2:$AE$188,"Green")</f>
        <v>0</v>
      </c>
      <c r="C5" s="4" t="s">
        <v>69</v>
      </c>
      <c r="D5" s="3">
        <f>COUNTIFS('Daily Tracker'!$C$2:$C$188,C5,'Daily Tracker'!$Z$2:$Z$188,"Yes")</f>
        <v>0</v>
      </c>
    </row>
    <row r="6" spans="1:4" ht="18" customHeight="1" x14ac:dyDescent="0.3">
      <c r="A6" s="8" t="s">
        <v>70</v>
      </c>
      <c r="B6" s="3">
        <f>COUNTIF('Daily Tracker'!$AE$2:$AE$188,"Yellow")</f>
        <v>0</v>
      </c>
      <c r="C6" s="4" t="s">
        <v>71</v>
      </c>
      <c r="D6" s="3">
        <f>COUNTIFS('Daily Tracker'!$C$2:$C$188,C6,'Daily Tracker'!$Z$2:$Z$188,"Yes")</f>
        <v>0</v>
      </c>
    </row>
    <row r="7" spans="1:4" ht="18" customHeight="1" x14ac:dyDescent="0.3">
      <c r="A7" s="8" t="s">
        <v>72</v>
      </c>
      <c r="B7" s="3">
        <f>COUNTIF('Daily Tracker'!$AE$2:$AE$188,"Grey")</f>
        <v>0</v>
      </c>
      <c r="C7" s="4" t="s">
        <v>73</v>
      </c>
      <c r="D7" s="3">
        <f>COUNTIFS('Daily Tracker'!$C$2:$C$188,C7,'Daily Tracker'!$Z$2:$Z$188,"Yes")</f>
        <v>0</v>
      </c>
    </row>
    <row r="8" spans="1:4" ht="18" customHeight="1" x14ac:dyDescent="0.3">
      <c r="A8" s="8" t="s">
        <v>74</v>
      </c>
      <c r="B8" s="3">
        <f>COUNTIF('Daily Tracker'!$AH$2:$AH$188,"ALERT")</f>
        <v>0</v>
      </c>
      <c r="C8" s="4" t="s">
        <v>75</v>
      </c>
      <c r="D8" s="3">
        <f>COUNTIFS('Daily Tracker'!$C$2:$C$188,C8,'Daily Tracker'!$Z$2:$Z$188,"Yes")</f>
        <v>0</v>
      </c>
    </row>
    <row r="9" spans="1:4" ht="18" customHeight="1" x14ac:dyDescent="0.3">
      <c r="A9" s="8" t="s">
        <v>76</v>
      </c>
      <c r="B9" s="6" t="str">
        <f>IF(B4=0,"",AVERAGEIF('Daily Tracker'!$Z$2:$Z$188,"Yes",'Daily Tracker'!$AB$2:$AB$188))</f>
        <v/>
      </c>
      <c r="C9" s="4" t="s">
        <v>77</v>
      </c>
      <c r="D9" s="3">
        <f>COUNTIFS('Daily Tracker'!$C$2:$C$188,C9,'Daily Tracker'!$Z$2:$Z$188,"Yes")</f>
        <v>0</v>
      </c>
    </row>
    <row r="10" spans="1:4" ht="18" customHeight="1" x14ac:dyDescent="0.3">
      <c r="A10" s="8" t="s">
        <v>78</v>
      </c>
      <c r="B10" s="5" t="str">
        <f>IF(B4=0,"",AVERAGEIF('Daily Tracker'!$Z$2:$Z$188,"Yes",'Daily Tracker'!$AI$2:$AI$188))</f>
        <v/>
      </c>
      <c r="C10" s="4" t="s">
        <v>79</v>
      </c>
      <c r="D10" s="3">
        <f>COUNTIFS('Daily Tracker'!$C$2:$C$188,C10,'Daily Tracker'!$Z$2:$Z$188,"Yes")</f>
        <v>0</v>
      </c>
    </row>
    <row r="11" spans="1:4" ht="18" customHeight="1" x14ac:dyDescent="0.3">
      <c r="A11" s="8" t="s">
        <v>80</v>
      </c>
      <c r="B11" s="5">
        <f>MAX('Daily Tracker'!$AF$2:$AF$188)</f>
        <v>0</v>
      </c>
      <c r="C11" s="4" t="s">
        <v>81</v>
      </c>
      <c r="D11" s="3">
        <f>COUNTIFS('Daily Tracker'!$C$2:$C$188,C11,'Daily Tracker'!$Z$2:$Z$188,"Yes")</f>
        <v>0</v>
      </c>
    </row>
    <row r="13" spans="1:4" x14ac:dyDescent="0.3">
      <c r="C13" s="10" t="s">
        <v>82</v>
      </c>
      <c r="D13" t="s">
        <v>83</v>
      </c>
    </row>
  </sheetData>
  <mergeCells count="1">
    <mergeCell ref="A1:D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9"/>
  <sheetViews>
    <sheetView showGridLines="0" workbookViewId="0"/>
  </sheetViews>
  <sheetFormatPr baseColWidth="10" defaultColWidth="8.88671875" defaultRowHeight="14.4" x14ac:dyDescent="0.3"/>
  <cols>
    <col min="1" max="1" width="22" customWidth="1"/>
    <col min="2" max="19" width="20" customWidth="1"/>
  </cols>
  <sheetData>
    <row r="1" spans="1:8" x14ac:dyDescent="0.3">
      <c r="A1" s="10" t="s">
        <v>84</v>
      </c>
      <c r="B1" t="s">
        <v>85</v>
      </c>
      <c r="C1" t="s">
        <v>86</v>
      </c>
    </row>
    <row r="3" spans="1:8" x14ac:dyDescent="0.3">
      <c r="A3" s="10" t="s">
        <v>87</v>
      </c>
      <c r="B3" t="s">
        <v>37</v>
      </c>
      <c r="C3" t="s">
        <v>38</v>
      </c>
    </row>
    <row r="5" spans="1:8" x14ac:dyDescent="0.3">
      <c r="A5" s="10" t="s">
        <v>88</v>
      </c>
      <c r="C5" t="s">
        <v>89</v>
      </c>
      <c r="D5" t="s">
        <v>90</v>
      </c>
      <c r="E5" t="s">
        <v>91</v>
      </c>
      <c r="F5" t="s">
        <v>92</v>
      </c>
      <c r="G5" t="s">
        <v>93</v>
      </c>
    </row>
    <row r="7" spans="1:8" x14ac:dyDescent="0.3">
      <c r="A7" s="10" t="s">
        <v>94</v>
      </c>
      <c r="B7" t="s">
        <v>69</v>
      </c>
      <c r="C7" t="s">
        <v>71</v>
      </c>
      <c r="D7" t="s">
        <v>73</v>
      </c>
      <c r="E7" t="s">
        <v>75</v>
      </c>
      <c r="F7" t="s">
        <v>77</v>
      </c>
      <c r="G7" t="s">
        <v>79</v>
      </c>
      <c r="H7" t="s">
        <v>81</v>
      </c>
    </row>
    <row r="9" spans="1:8" x14ac:dyDescent="0.3">
      <c r="A9" s="10" t="s">
        <v>95</v>
      </c>
      <c r="B9" t="s">
        <v>96</v>
      </c>
      <c r="C9" t="s">
        <v>97</v>
      </c>
      <c r="D9" t="s">
        <v>98</v>
      </c>
      <c r="E9" t="s">
        <v>99</v>
      </c>
      <c r="F9" t="s">
        <v>100</v>
      </c>
      <c r="G9" t="s">
        <v>101</v>
      </c>
      <c r="H9" t="s">
        <v>102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2"/>
  <sheetViews>
    <sheetView showGridLines="0" workbookViewId="0"/>
  </sheetViews>
  <sheetFormatPr baseColWidth="10" defaultColWidth="8.88671875" defaultRowHeight="14.4" x14ac:dyDescent="0.3"/>
  <cols>
    <col min="1" max="1" width="34" customWidth="1"/>
    <col min="2" max="2" width="18" customWidth="1"/>
  </cols>
  <sheetData>
    <row r="1" spans="1:2" x14ac:dyDescent="0.3">
      <c r="A1" s="10" t="s">
        <v>103</v>
      </c>
      <c r="B1" s="11">
        <v>46062</v>
      </c>
    </row>
    <row r="2" spans="1:2" x14ac:dyDescent="0.3">
      <c r="A2" s="10" t="s">
        <v>104</v>
      </c>
      <c r="B2" s="11">
        <v>46248</v>
      </c>
    </row>
    <row r="4" spans="1:2" x14ac:dyDescent="0.3">
      <c r="A4" s="10" t="s">
        <v>105</v>
      </c>
      <c r="B4">
        <v>9</v>
      </c>
    </row>
    <row r="5" spans="1:2" x14ac:dyDescent="0.3">
      <c r="A5" s="10" t="s">
        <v>106</v>
      </c>
      <c r="B5">
        <v>4</v>
      </c>
    </row>
    <row r="7" spans="1:2" x14ac:dyDescent="0.3">
      <c r="A7" s="10" t="s">
        <v>107</v>
      </c>
      <c r="B7">
        <v>12</v>
      </c>
    </row>
    <row r="9" spans="1:2" x14ac:dyDescent="0.3">
      <c r="A9" s="10" t="s">
        <v>108</v>
      </c>
    </row>
    <row r="10" spans="1:2" x14ac:dyDescent="0.3">
      <c r="A10" s="10" t="s">
        <v>109</v>
      </c>
      <c r="B10">
        <v>80</v>
      </c>
    </row>
    <row r="11" spans="1:2" x14ac:dyDescent="0.3">
      <c r="A11" s="10" t="s">
        <v>110</v>
      </c>
      <c r="B11">
        <v>20</v>
      </c>
    </row>
    <row r="12" spans="1:2" x14ac:dyDescent="0.3">
      <c r="A12" s="10" t="s">
        <v>111</v>
      </c>
      <c r="B1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6</vt:i4>
      </vt:variant>
      <vt:variant>
        <vt:lpstr>Benannte Bereiche</vt:lpstr>
      </vt:variant>
      <vt:variant>
        <vt:i4>5</vt:i4>
      </vt:variant>
    </vt:vector>
  </HeadingPairs>
  <TitlesOfParts>
    <vt:vector size="11" baseType="lpstr">
      <vt:lpstr>Daily Tracker</vt:lpstr>
      <vt:lpstr>Weekly Summary</vt:lpstr>
      <vt:lpstr>Monthly Summary</vt:lpstr>
      <vt:lpstr>Dashboard</vt:lpstr>
      <vt:lpstr>Lists</vt:lpstr>
      <vt:lpstr>Settings</vt:lpstr>
      <vt:lpstr>ContributionList</vt:lpstr>
      <vt:lpstr>EnergyList</vt:lpstr>
      <vt:lpstr>ModuleList</vt:lpstr>
      <vt:lpstr>YesNoMark</vt:lpstr>
      <vt:lpstr>YesNoText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Nijat Ehmet</dc:creator>
  <cp:lastModifiedBy>Nijat Ehmet</cp:lastModifiedBy>
  <dcterms:modified xsi:type="dcterms:W3CDTF">2026-08-20T07:38:06Z</dcterms:modified>
</cp:coreProperties>
</file>